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imelines/timeline2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e5abbcbb23c915e/Desktop/Alura/Excel/"/>
    </mc:Choice>
  </mc:AlternateContent>
  <xr:revisionPtr revIDLastSave="240" documentId="8_{2ADA50CD-2386-45F2-AE57-67E76161FB62}" xr6:coauthVersionLast="47" xr6:coauthVersionMax="47" xr10:uidLastSave="{2DB49F99-FCC6-464F-B605-C9E7231F216A}"/>
  <bookViews>
    <workbookView xWindow="-108" yWindow="-108" windowWidth="23256" windowHeight="12456" activeTab="3" xr2:uid="{B673A230-CF2B-4926-840F-06DAC6DEF54A}"/>
  </bookViews>
  <sheets>
    <sheet name="Tabelas" sheetId="4" r:id="rId1"/>
    <sheet name="Dashboard" sheetId="6" r:id="rId2"/>
    <sheet name="Valor por Veículo" sheetId="9" r:id="rId3"/>
    <sheet name="Base Filtrada" sheetId="8" r:id="rId4"/>
    <sheet name="Controle de Entregas" sheetId="3" r:id="rId5"/>
  </sheets>
  <functionGroups builtInGroupCount="19"/>
  <definedNames>
    <definedName name="_xlnm._FilterDatabase" localSheetId="4" hidden="1">'Controle de Entregas'!$A$1:$M$31</definedName>
    <definedName name="_xlnm.Extract" localSheetId="3">'Base Filtrada'!$A$5:$M$5</definedName>
    <definedName name="baseFiltrada">'Base Filtrada'!$A$5:$M$100</definedName>
    <definedName name="_xlnm.Criteria" localSheetId="3">'Base Filtrada'!$A$1:$M$2</definedName>
    <definedName name="NativeTimeline_Data_Contrato">#N/A</definedName>
    <definedName name="origemDinamica">'Controle de Entregas'!$A$1:$M$31</definedName>
    <definedName name="SegmentaçãodeDados_Cliente">#N/A</definedName>
    <definedName name="situacaoChegadas">'Controle de Entregas'!$M$1:$M$29</definedName>
    <definedName name="situacaoPartidas">'Controle de Entregas'!$J$1:$J$29</definedName>
  </definedNames>
  <calcPr calcId="191029"/>
  <pivotCaches>
    <pivotCache cacheId="2" r:id="rId6"/>
    <pivotCache cacheId="42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15" i="6" l="1"/>
  <c r="AJ9" i="6"/>
  <c r="AJ3" i="6"/>
  <c r="AA9" i="6"/>
  <c r="AA3" i="6"/>
  <c r="BB9" i="6"/>
  <c r="BB15" i="6"/>
  <c r="R15" i="6"/>
  <c r="R9" i="6"/>
  <c r="AS3" i="6"/>
  <c r="BB3" i="6"/>
  <c r="AS9" i="6"/>
  <c r="I3" i="6"/>
  <c r="I9" i="6"/>
  <c r="R3" i="6"/>
  <c r="AA15" i="6" a="1"/>
  <c r="AA15" i="6" l="1"/>
  <c r="AS15" i="6"/>
  <c r="I1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<sst xmlns="http://schemas.openxmlformats.org/spreadsheetml/2006/main" count="569" uniqueCount="57">
  <si>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</si>
  <si>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</si>
  <si>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</si>
  <si>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</si>
  <si>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</si>
  <si>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</si>
  <si>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</si>
  <si>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</si>
  <si>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</si>
  <si>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</si>
  <si>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</si>
  <si>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</si>
  <si>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</si>
  <si>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</si>
  <si>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</si>
  <si>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</si>
  <si>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</si>
  <si>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</si>
  <si>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</si>
  <si>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</si>
  <si>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</si>
  <si>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</si>
  <si>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</si>
  <si>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</si>
  <si>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</si>
  <si>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</si>
  <si>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</si>
  <si>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</si>
  <si>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</si>
  <si>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</si>
  <si>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</si>
  <si>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</si>
  <si>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</si>
  <si>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</si>
  <si>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</si>
  <si>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</si>
  <si>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</si>
  <si>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</si>
  <si>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</si>
  <si>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</si>
  <si>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</si>
  <si>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</si>
  <si>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</si>
  <si>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</si>
  <si>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</si>
  <si>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de kg Transportados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</si>
  <si>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</si>
  <si>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</si>
  <si>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</si>
  <si>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</si>
  <si>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</si>
  <si>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</si>
  <si>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Logística de Entregas por Período</t>
  </si>
  <si>
    <t>Painel de Veículos</t>
  </si>
  <si>
    <t>Painel de Logística</t>
  </si>
  <si>
    <t>Painel de Cargas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</si>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</sst>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1" tint="0.149998474074526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5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2" xfId="0" pivotButton="1" applyBorder="1"/>
    <xf numFmtId="0" fontId="0" fillId="0" borderId="5" xfId="0" applyBorder="1" applyAlignment="1">
      <alignment horizontal="left"/>
    </xf>
    <xf numFmtId="0" fontId="0" fillId="0" borderId="1" xfId="0" pivotButton="1" applyBorder="1"/>
    <xf numFmtId="0" fontId="0" fillId="0" borderId="1" xfId="0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" xfId="0" applyBorder="1"/>
    <xf numFmtId="0" fontId="0" fillId="0" borderId="5" xfId="0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2" fillId="3" borderId="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7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6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3" borderId="0" xfId="0" applyFont="1" applyFill="1"/>
    <xf numFmtId="0" fontId="2" fillId="3" borderId="13" xfId="0" applyFont="1" applyFill="1" applyBorder="1" applyAlignment="1">
      <alignment horizontal="center"/>
    </xf>
    <xf numFmtId="44" fontId="0" fillId="0" borderId="0" xfId="0" applyNumberFormat="1"/>
    <xf numFmtId="0" fontId="0" fillId="0" borderId="2" xfId="0" applyBorder="1"/>
    <xf numFmtId="0" fontId="0" fillId="0" borderId="4" xfId="0" applyBorder="1"/>
    <xf numFmtId="44" fontId="2" fillId="0" borderId="3" xfId="1" applyFont="1" applyBorder="1" applyAlignment="1">
      <alignment horizontal="center"/>
    </xf>
    <xf numFmtId="0" fontId="0" fillId="5" borderId="0" xfId="0" applyFill="1"/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2" fontId="3" fillId="2" borderId="13" xfId="0" applyNumberFormat="1" applyFont="1" applyFill="1" applyBorder="1" applyAlignment="1">
      <alignment horizontal="center" vertical="center"/>
    </xf>
    <xf numFmtId="2" fontId="3" fillId="2" borderId="14" xfId="0" applyNumberFormat="1" applyFont="1" applyFill="1" applyBorder="1" applyAlignment="1">
      <alignment horizontal="center" vertical="center"/>
    </xf>
    <xf numFmtId="44" fontId="3" fillId="2" borderId="13" xfId="1" applyFont="1" applyFill="1" applyBorder="1" applyAlignment="1">
      <alignment horizontal="center" vertical="center"/>
    </xf>
    <xf numFmtId="44" fontId="3" fillId="2" borderId="14" xfId="1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 textRotation="90"/>
    </xf>
    <xf numFmtId="0" fontId="5" fillId="5" borderId="13" xfId="0" applyFont="1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</cellXfs>
  <cellStyles count="3">
    <cellStyle name="Moeda" xfId="1" builtinId="4"/>
    <cellStyle name="Moeda 2" xfId="2" xr:uid="{275D374C-E147-4403-89F6-B45C4AF0E825}"/>
    <cellStyle name="Normal" xfId="0" builtinId="0"/>
  </cellStyles>
  <dxfs count="19">
    <dxf>
      <numFmt numFmtId="34" formatCode="_-&quot;R$&quot;\ * #,##0.00_-;\-&quot;R$&quot;\ * #,##0.00_-;_-&quot;R$&quot;\ * &quot;-&quot;??_-;_-@_-"/>
    </dxf>
    <dxf>
      <font>
        <color theme="1"/>
      </font>
      <fill>
        <patternFill>
          <bgColor rgb="FFFFCC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CC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CC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4" formatCode="_-&quot;R$&quot;\ * #,##0.00_-;\-&quot;R$&quot;\ * #,##0.00_-;_-&quot;R$&quot;\ * &quot;-&quot;??_-;_-@_-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[Contole de Transporte Dashboard.xlsm]Tabelas!Tabela dinâmica2</c:name>
    <c:fmtId val="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Tabelas!$B$13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Tabelas!$A$14:$A$22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Tabelas!$B$14:$B$22</c:f>
              <c:numCache>
                <c:formatCode>General</c:formatCode>
                <c:ptCount val="8"/>
                <c:pt idx="0">
                  <c:v>254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0-4785-9C42-82B1075C000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89423487"/>
        <c:axId val="189418079"/>
      </c:barChart>
      <c:lineChart>
        <c:grouping val="standard"/>
        <c:varyColors val="0"/>
        <c:ser>
          <c:idx val="1"/>
          <c:order val="1"/>
          <c:tx>
            <c:strRef>
              <c:f>Tabelas!$C$13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Tabelas!$A$14:$A$22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Tabelas!$C$14:$C$22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80-4785-9C42-82B1075C000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3593375"/>
        <c:axId val="433603359"/>
      </c:lineChart>
      <c:catAx>
        <c:axId val="189423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18079"/>
        <c:crosses val="autoZero"/>
        <c:auto val="1"/>
        <c:lblAlgn val="ctr"/>
        <c:lblOffset val="100"/>
        <c:noMultiLvlLbl val="0"/>
      </c:catAx>
      <c:valAx>
        <c:axId val="18941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23487"/>
        <c:crosses val="autoZero"/>
        <c:crossBetween val="between"/>
      </c:valAx>
      <c:valAx>
        <c:axId val="433603359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3593375"/>
        <c:crosses val="max"/>
        <c:crossBetween val="between"/>
      </c:valAx>
      <c:catAx>
        <c:axId val="43359337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336033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[Contole de Transporte Dashboard.xlsm]Tabelas!Tabela dinâmica3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Tabelas!$F$13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640-4ADD-9C22-651904D7C25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640-4ADD-9C22-651904D7C25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640-4ADD-9C22-651904D7C25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640-4ADD-9C22-651904D7C25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Tabelas!$E$14:$E$18</c:f>
              <c:strCache>
                <c:ptCount val="4"/>
                <c:pt idx="0">
                  <c:v>AM</c:v>
                </c:pt>
                <c:pt idx="1">
                  <c:v>MG</c:v>
                </c:pt>
                <c:pt idx="2">
                  <c:v>MT</c:v>
                </c:pt>
                <c:pt idx="3">
                  <c:v>SP</c:v>
                </c:pt>
              </c:strCache>
            </c:strRef>
          </c:cat>
          <c:val>
            <c:numRef>
              <c:f>Tabelas!$F$14:$F$18</c:f>
              <c:numCache>
                <c:formatCode>General</c:formatCode>
                <c:ptCount val="4"/>
                <c:pt idx="0">
                  <c:v>3320</c:v>
                </c:pt>
                <c:pt idx="1">
                  <c:v>3846.7200000000003</c:v>
                </c:pt>
                <c:pt idx="2">
                  <c:v>8330.1311953352779</c:v>
                </c:pt>
                <c:pt idx="3">
                  <c:v>10160.356048471966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7F-4D3D-8582-66473A710E4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[Contole de Transporte Dashboard.xlsm]Tabelas!Tabela dinâmica2</c:name>
    <c:fmtId val="10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Tabelas!$B$13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Tabelas!$A$14:$A$22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Tabelas!$B$14:$B$22</c:f>
              <c:numCache>
                <c:formatCode>General</c:formatCode>
                <c:ptCount val="8"/>
                <c:pt idx="0">
                  <c:v>254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C-404B-8E51-73B3BE8A6C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89423487"/>
        <c:axId val="189418079"/>
      </c:barChart>
      <c:lineChart>
        <c:grouping val="standard"/>
        <c:varyColors val="0"/>
        <c:ser>
          <c:idx val="1"/>
          <c:order val="1"/>
          <c:tx>
            <c:strRef>
              <c:f>Tabelas!$C$13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Tabelas!$A$14:$A$22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Tabelas!$C$14:$C$22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3C-404B-8E51-73B3BE8A6C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3593375"/>
        <c:axId val="433603359"/>
      </c:lineChart>
      <c:catAx>
        <c:axId val="189423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18079"/>
        <c:crosses val="autoZero"/>
        <c:auto val="1"/>
        <c:lblAlgn val="ctr"/>
        <c:lblOffset val="100"/>
        <c:noMultiLvlLbl val="0"/>
      </c:catAx>
      <c:valAx>
        <c:axId val="18941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23487"/>
        <c:crosses val="autoZero"/>
        <c:crossBetween val="between"/>
      </c:valAx>
      <c:valAx>
        <c:axId val="433603359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3593375"/>
        <c:crosses val="max"/>
        <c:crossBetween val="between"/>
      </c:valAx>
      <c:catAx>
        <c:axId val="43359337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336033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[Contole de Transporte Dashboard.xlsm]Tabelas!Tabela dinâmica3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Tabelas!$F$13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FB4-40D4-8935-E997379A4E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FB4-40D4-8935-E997379A4EC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FB4-40D4-8935-E997379A4EC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FB4-40D4-8935-E997379A4E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Tabelas!$E$14:$E$18</c:f>
              <c:strCache>
                <c:ptCount val="4"/>
                <c:pt idx="0">
                  <c:v>AM</c:v>
                </c:pt>
                <c:pt idx="1">
                  <c:v>MG</c:v>
                </c:pt>
                <c:pt idx="2">
                  <c:v>MT</c:v>
                </c:pt>
                <c:pt idx="3">
                  <c:v>SP</c:v>
                </c:pt>
              </c:strCache>
            </c:strRef>
          </c:cat>
          <c:val>
            <c:numRef>
              <c:f>Tabelas!$F$14:$F$18</c:f>
              <c:numCache>
                <c:formatCode>General</c:formatCode>
                <c:ptCount val="4"/>
                <c:pt idx="0">
                  <c:v>3320</c:v>
                </c:pt>
                <c:pt idx="1">
                  <c:v>3846.7200000000003</c:v>
                </c:pt>
                <c:pt idx="2">
                  <c:v>8330.1311953352779</c:v>
                </c:pt>
                <c:pt idx="3">
                  <c:v>10160.356048471966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FB4-40D4-8935-E997379A4EC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[Contole de Transporte Dashboard.xlsm]Valor por Veículo!Tabela dinâmica2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0-4C38-B962-B0CD1DB9BD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0-4C38-B962-B0CD1DB9BD6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0-4C38-B962-B0CD1DB9BD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0-4C38-B962-B0CD1DB9BD67}"/>
              </c:ext>
            </c:extLst>
          </c:dPt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  <c:pt idx="3">
                  <c:v>(vazio)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0-4C38-B962-B0CD1DB9B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[Contole de Transporte Dashboard.xlsm]Valor por Veículo!Tabela dinâmica2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D10-45C7-AC3B-E966BB9B41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D10-45C7-AC3B-E966BB9B41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D10-45C7-AC3B-E966BB9B41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D10-45C7-AC3B-E966BB9B41CD}"/>
              </c:ext>
            </c:extLst>
          </c:dPt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  <c:pt idx="3">
                  <c:v>(vazio)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10-45C7-AC3B-E966BB9B4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[Contole de Transporte Dashboard.xlsm]Valor por Veículo!Tabela dinâmica2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A6-4FEF-AAB1-B5CE2AF5812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DA6-4FEF-AAB1-B5CE2AF5812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DA6-4FEF-AAB1-B5CE2AF5812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DA6-4FEF-AAB1-B5CE2AF58120}"/>
              </c:ext>
            </c:extLst>
          </c:dPt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  <c:pt idx="3">
                  <c:v>(vazio)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DA6-4FEF-AAB1-B5CE2AF58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[Contole de Transporte Dashboard.xlsm]Valor por Veículo!Tabela dinâmica2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0999058496747343"/>
          <c:y val="0.1012749459077228"/>
          <c:w val="0.47308597690311227"/>
          <c:h val="0.80888110577911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  <c:pt idx="3">
                  <c:v>(vazio)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62-4C2A-AAE0-66EFFA0E5DC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85595215"/>
        <c:axId val="1785596463"/>
      </c:barChart>
      <c:catAx>
        <c:axId val="17855952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5596463"/>
        <c:crosses val="autoZero"/>
        <c:auto val="1"/>
        <c:lblAlgn val="ctr"/>
        <c:lblOffset val="100"/>
        <c:noMultiLvlLbl val="0"/>
      </c:catAx>
      <c:valAx>
        <c:axId val="1785596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5595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118783</xdr:colOff>
      <xdr:row>1</xdr:row>
      <xdr:rowOff>13897</xdr:rowOff>
    </xdr:from>
    <xdr:to>
      <xdr:col>1</xdr:col>
      <xdr:colOff>689998</xdr:colOff>
      <xdr:row>10</xdr:row>
      <xdr:rowOff>81132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liente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783" y="193191"/>
              <a:ext cx="1826274" cy="16898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727038</xdr:colOff>
      <xdr:row>0</xdr:row>
      <xdr:rowOff>175260</xdr:rowOff>
    </xdr:from>
    <xdr:to>
      <xdr:col>10</xdr:col>
      <xdr:colOff>508992</xdr:colOff>
      <xdr:row>10</xdr:row>
      <xdr:rowOff>62753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a Contrato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5560" y="175260"/>
              <a:ext cx="10692001" cy="16893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15240</xdr:rowOff>
    </xdr:from>
    <xdr:to>
      <xdr:col>7</xdr:col>
      <xdr:colOff>594359</xdr:colOff>
      <xdr:row>18</xdr:row>
      <xdr:rowOff>167639</xdr:rowOff>
    </xdr:to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</xdr:colOff>
      <xdr:row>1</xdr:row>
      <xdr:rowOff>22860</xdr:rowOff>
    </xdr:from>
    <xdr:to>
      <xdr:col>16</xdr:col>
      <xdr:colOff>594360</xdr:colOff>
      <xdr:row>18</xdr:row>
      <xdr:rowOff>152400</xdr:rowOff>
    </xdr:to>
    <xdr:graphicFrame macro="">
      <xdr:nvGraphicFramePr>
        <xdr:cNvPr id="4" name="Gráfico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20</xdr:row>
      <xdr:rowOff>13251</xdr:rowOff>
    </xdr:from>
    <xdr:to>
      <xdr:col>35</xdr:col>
      <xdr:colOff>1043940</xdr:colOff>
      <xdr:row>27</xdr:row>
      <xdr:rowOff>104691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Data Contrato 1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62399"/>
              <a:ext cx="12990775" cy="13901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83820</xdr:rowOff>
        </xdr:from>
        <xdr:to>
          <xdr:col>0</xdr:col>
          <xdr:colOff>579120</xdr:colOff>
          <xdr:row>0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xdr:twoCellAnchor>
    <xdr:from>
      <xdr:col>37</xdr:col>
      <xdr:colOff>0</xdr:colOff>
      <xdr:row>1</xdr:row>
      <xdr:rowOff>15240</xdr:rowOff>
    </xdr:from>
    <xdr:to>
      <xdr:col>43</xdr:col>
      <xdr:colOff>594359</xdr:colOff>
      <xdr:row>18</xdr:row>
      <xdr:rowOff>167639</xdr:rowOff>
    </xdr:to>
    <xdr:graphicFrame macro="">
      <xdr:nvGraphicFramePr>
        <xdr:cNvPr id="7" name="Gráfico 3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45</xdr:col>
      <xdr:colOff>15240</xdr:colOff>
      <xdr:row>1</xdr:row>
      <xdr:rowOff>22860</xdr:rowOff>
    </xdr:from>
    <xdr:to>
      <xdr:col>52</xdr:col>
      <xdr:colOff>594360</xdr:colOff>
      <xdr:row>18</xdr:row>
      <xdr:rowOff>152400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30480</xdr:colOff>
          <xdr:row>0</xdr:row>
          <xdr:rowOff>83820</xdr:rowOff>
        </xdr:from>
        <xdr:to>
          <xdr:col>18</xdr:col>
          <xdr:colOff>579120</xdr:colOff>
          <xdr:row>0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30480</xdr:colOff>
          <xdr:row>0</xdr:row>
          <xdr:rowOff>83820</xdr:rowOff>
        </xdr:from>
        <xdr:to>
          <xdr:col>36</xdr:col>
          <xdr:colOff>579120</xdr:colOff>
          <xdr:row>0</xdr:row>
          <xdr:rowOff>381000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0</xdr:colOff>
      <xdr:row>12</xdr:row>
      <xdr:rowOff>0</xdr:rowOff>
    </xdr:from>
    <xdr:to>
      <xdr:col>30</xdr:col>
      <xdr:colOff>0</xdr:colOff>
      <xdr:row>26</xdr:row>
      <xdr:rowOff>167640</xdr:rowOff>
    </xdr:to>
    <xdr:graphicFrame macro="">
      <xdr:nvGraphicFramePr>
        <xdr:cNvPr id="10" name="Gráfico 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152400</xdr:colOff>
      <xdr:row>12</xdr:row>
      <xdr:rowOff>152400</xdr:rowOff>
    </xdr:from>
    <xdr:to>
      <xdr:col>30</xdr:col>
      <xdr:colOff>152400</xdr:colOff>
      <xdr:row>27</xdr:row>
      <xdr:rowOff>137160</xdr:rowOff>
    </xdr:to>
    <xdr:graphicFrame macro="">
      <xdr:nvGraphicFramePr>
        <xdr:cNvPr id="11" name="Gráfico 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30480</xdr:colOff>
      <xdr:row>1</xdr:row>
      <xdr:rowOff>22860</xdr:rowOff>
    </xdr:from>
    <xdr:to>
      <xdr:col>34</xdr:col>
      <xdr:colOff>586740</xdr:colOff>
      <xdr:row>18</xdr:row>
      <xdr:rowOff>167640</xdr:rowOff>
    </xdr:to>
    <xdr:graphicFrame macro="">
      <xdr:nvGraphicFramePr>
        <xdr:cNvPr id="12" name="Gráfico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21022</xdr:colOff>
      <xdr:row>1</xdr:row>
      <xdr:rowOff>21021</xdr:rowOff>
    </xdr:from>
    <xdr:to>
      <xdr:col>25</xdr:col>
      <xdr:colOff>588580</xdr:colOff>
      <xdr:row>18</xdr:row>
      <xdr:rowOff>162911</xdr:rowOff>
    </xdr:to>
    <xdr:graphicFrame macro="">
      <xdr:nvGraphicFramePr>
        <xdr:cNvPr id="13" name="Gráfico 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510540</xdr:colOff>
          <xdr:row>0</xdr:row>
          <xdr:rowOff>68580</xdr:rowOff>
        </xdr:from>
        <xdr:to>
          <xdr:col>33</xdr:col>
          <xdr:colOff>106680</xdr:colOff>
          <xdr:row>0</xdr:row>
          <xdr:rowOff>365760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2</xdr:row>
          <xdr:rowOff>38100</xdr:rowOff>
        </xdr:from>
        <xdr:to>
          <xdr:col>1</xdr:col>
          <xdr:colOff>342900</xdr:colOff>
          <xdr:row>2</xdr:row>
          <xdr:rowOff>320040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693420</xdr:colOff>
          <xdr:row>2</xdr:row>
          <xdr:rowOff>38100</xdr:rowOff>
        </xdr:from>
        <xdr:to>
          <xdr:col>3</xdr:col>
          <xdr:colOff>335280</xdr:colOff>
          <xdr:row>2</xdr:row>
          <xdr:rowOff>320040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2</xdr:row>
          <xdr:rowOff>38100</xdr:rowOff>
        </xdr:from>
        <xdr:to>
          <xdr:col>4</xdr:col>
          <xdr:colOff>1082040</xdr:colOff>
          <xdr:row>2</xdr:row>
          <xdr:rowOff>320040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</xdr:colOff>
          <xdr:row>2</xdr:row>
          <xdr:rowOff>45720</xdr:rowOff>
        </xdr:from>
        <xdr:to>
          <xdr:col>6</xdr:col>
          <xdr:colOff>1196340</xdr:colOff>
          <xdr:row>2</xdr:row>
          <xdr:rowOff>327660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912B7D5F-E87A-F3FE-5E2F-67B50BD329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Filtro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thaly Silva" refreshedDate="44859.573683564813" createdVersion="8" refreshedVersion="8" minRefreshableVersion="3" recordCount="30" xr:uid="{C685AC14-2A7B-4FB9-920C-0B3F5416B8C5}">
  <cacheSource type="worksheet">
    <worksheetSource name="origemDinamica"/>
  </cacheSource>
  <cacheFields count="13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/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 count="4">
        <s v="SP"/>
        <s v="RJ"/>
        <s v="BA"/>
        <s v="MG"/>
      </sharedItems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</cacheFields>
  <extLst>
    <ext xmlns:x14="http://schemas.microsoft.com/office/spreadsheetml/2009/9/main" uri="{725AE2AE-9491-48be-B2B4-4EB974FC3084}">
      <x14:pivotCacheDefinition pivotCacheId="209477146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thaly Silva" refreshedDate="44859.70970821759" createdVersion="8" refreshedVersion="8" minRefreshableVersion="3" recordCount="31" xr:uid="{3BBC0F62-AEB3-47E4-A677-92CD2173C42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s v="Utilitário Pequeno"/>
    <x v="0"/>
    <d v="2019-03-05T00:00:00"/>
    <s v="Finalizada - Em Dia"/>
    <x v="0"/>
    <d v="2019-03-05T00:00:00"/>
    <s v="Finalizada - Em Dia"/>
  </r>
  <r>
    <x v="0"/>
    <x v="1"/>
    <s v="Encerrado"/>
    <n v="586.32000000000005"/>
    <x v="1"/>
    <n v="16"/>
    <s v="Utilitário Pequeno"/>
    <x v="0"/>
    <d v="2019-04-20T00:00:00"/>
    <s v="Finalizada - Em Dia"/>
    <x v="1"/>
    <d v="2019-04-20T00:00:00"/>
    <s v="Finalizada - Em Dia"/>
  </r>
  <r>
    <x v="0"/>
    <x v="2"/>
    <s v="Encerrado"/>
    <n v="256.32"/>
    <x v="1"/>
    <n v="9"/>
    <s v="Utilitário Pequeno"/>
    <x v="0"/>
    <d v="2019-04-20T00:00:00"/>
    <s v="Finalizada - Em Dia"/>
    <x v="1"/>
    <d v="2019-04-20T00:00:00"/>
    <s v="Finalizada - Em Dia"/>
  </r>
  <r>
    <x v="0"/>
    <x v="3"/>
    <s v="Encerrado"/>
    <n v="726.32"/>
    <x v="0"/>
    <n v="23"/>
    <s v="Utilitário Pequeno"/>
    <x v="0"/>
    <d v="2019-10-10T00:00:00"/>
    <s v="Finalizada - Atrasada"/>
    <x v="0"/>
    <d v="2019-10-10T00:00:00"/>
    <s v="Finalizada - Atrasada"/>
  </r>
  <r>
    <x v="0"/>
    <x v="4"/>
    <s v="Aberto"/>
    <n v="452.12"/>
    <x v="1"/>
    <n v="14"/>
    <s v="Utilitário Pequeno"/>
    <x v="0"/>
    <d v="2019-12-20T00:00:00"/>
    <s v="Em Aberto - Atrasada"/>
    <x v="0"/>
    <d v="2019-12-20T00:00:00"/>
    <s v="Em Aberto - Atrasada"/>
  </r>
  <r>
    <x v="0"/>
    <x v="5"/>
    <s v="Aberto"/>
    <n v="956.32"/>
    <x v="0"/>
    <n v="28"/>
    <s v="Utilitário Pequeno"/>
    <x v="0"/>
    <d v="2019-12-20T00:00:00"/>
    <s v="Em Aberto - Atrasada"/>
    <x v="0"/>
    <d v="2019-12-20T00:00:00"/>
    <s v="Em Aberto - Atrasada"/>
  </r>
  <r>
    <x v="1"/>
    <x v="6"/>
    <s v="Encerrado"/>
    <n v="2395"/>
    <x v="2"/>
    <n v="343"/>
    <s v="Caminhão Frigorífico"/>
    <x v="1"/>
    <d v="2019-04-12T00:00:00"/>
    <s v="Finalizada - Em Dia"/>
    <x v="0"/>
    <d v="2019-04-15T00:00:00"/>
    <s v="Finalizada - Em Dia"/>
  </r>
  <r>
    <x v="1"/>
    <x v="7"/>
    <s v="Encerrado"/>
    <n v="1745.6268221574344"/>
    <x v="2"/>
    <n v="250"/>
    <s v="Caminhão Frigorífico"/>
    <x v="1"/>
    <d v="2019-05-10T00:00:00"/>
    <s v="Finalizada - Em Dia"/>
    <x v="1"/>
    <d v="2019-05-13T00:00:00"/>
    <s v="Finalizada - Atrasada"/>
  </r>
  <r>
    <x v="1"/>
    <x v="8"/>
    <s v="Encerrado"/>
    <n v="907.72594752186592"/>
    <x v="2"/>
    <n v="130"/>
    <s v="Caminhão Frigorífico"/>
    <x v="1"/>
    <d v="2019-05-10T00:00:00"/>
    <s v="Finalizada - Em Dia"/>
    <x v="1"/>
    <d v="2019-05-13T00:00:00"/>
    <s v="Finalizada - Atrasada"/>
  </r>
  <r>
    <x v="1"/>
    <x v="9"/>
    <s v="Encerrado"/>
    <n v="1955.1020408163265"/>
    <x v="2"/>
    <n v="280"/>
    <s v="Caminhão Frigorífico"/>
    <x v="1"/>
    <d v="2019-05-22T00:00:00"/>
    <s v="Finalizada - Em Dia"/>
    <x v="0"/>
    <d v="2019-05-25T00:00:00"/>
    <s v="Finalizada - Em Dia"/>
  </r>
  <r>
    <x v="1"/>
    <x v="10"/>
    <s v="Encerrado"/>
    <n v="1326.6763848396502"/>
    <x v="2"/>
    <n v="190"/>
    <s v="Caminhão Frigorífico"/>
    <x v="1"/>
    <d v="2019-07-20T00:00:00"/>
    <s v="Finalizada - Em Dia"/>
    <x v="0"/>
    <d v="2019-07-23T00:00:00"/>
    <s v="Finalizada - Em Dia"/>
  </r>
  <r>
    <x v="2"/>
    <x v="11"/>
    <s v="Encerrado"/>
    <n v="600"/>
    <x v="3"/>
    <n v="15"/>
    <s v="Utilitário Pequeno"/>
    <x v="2"/>
    <d v="2019-07-07T00:00:00"/>
    <s v="Finalizada - Em Dia"/>
    <x v="2"/>
    <d v="2019-07-12T00:00:00"/>
    <s v="Finalizada - Em Dia"/>
  </r>
  <r>
    <x v="2"/>
    <x v="12"/>
    <s v="Encerrado"/>
    <n v="920"/>
    <x v="4"/>
    <n v="23"/>
    <s v="Utilitário Pequeno"/>
    <x v="2"/>
    <d v="2019-08-16T00:00:00"/>
    <s v="Finalizada - Em Dia"/>
    <x v="2"/>
    <d v="2019-07-22T00:00:00"/>
    <s v="Finalizada - Atrasada"/>
  </r>
  <r>
    <x v="2"/>
    <x v="13"/>
    <s v="Encerrado"/>
    <n v="440"/>
    <x v="3"/>
    <n v="11"/>
    <s v="Utilitário Pequeno"/>
    <x v="2"/>
    <d v="2019-08-16T00:00:00"/>
    <s v="Finalizada - Em Dia"/>
    <x v="0"/>
    <d v="2019-08-23T00:00:00"/>
    <s v="Finalizada - Atrasada"/>
  </r>
  <r>
    <x v="2"/>
    <x v="14"/>
    <s v="Encerrado"/>
    <n v="680"/>
    <x v="3"/>
    <n v="17"/>
    <s v="Utilitário Pequeno"/>
    <x v="2"/>
    <d v="2019-10-22T00:00:00"/>
    <s v="Finalizada - Em Dia"/>
    <x v="3"/>
    <d v="2019-10-28T00:00:00"/>
    <s v="Finalizada - Em Dia"/>
  </r>
  <r>
    <x v="2"/>
    <x v="15"/>
    <s v="Aberto"/>
    <n v="120"/>
    <x v="5"/>
    <n v="3"/>
    <s v="Utilitário Pequeno"/>
    <x v="2"/>
    <d v="2019-12-05T00:00:00"/>
    <s v="Em Aberto - Atrasada"/>
    <x v="0"/>
    <d v="2019-12-12T00:00:00"/>
    <s v="Em Aberto - Atrasada"/>
  </r>
  <r>
    <x v="2"/>
    <x v="16"/>
    <s v="Aberto"/>
    <n v="480"/>
    <x v="3"/>
    <n v="12"/>
    <s v="Utilitário Pequeno"/>
    <x v="2"/>
    <d v="2020-01-15T00:00:00"/>
    <s v="Em Aberto - Atrasada"/>
    <x v="0"/>
    <d v="2019-01-21T00:00:00"/>
    <s v="Em Aberto - Atrasada"/>
  </r>
  <r>
    <x v="2"/>
    <x v="17"/>
    <s v="Aberto"/>
    <n v="80"/>
    <x v="5"/>
    <n v="2"/>
    <s v="Utilitário Pequeno"/>
    <x v="2"/>
    <d v="2020-01-15T00:00:00"/>
    <s v="Em Aberto - Atrasada"/>
    <x v="0"/>
    <d v="2019-01-21T00:00:00"/>
    <s v="Em Aberto - Atrasada"/>
  </r>
  <r>
    <x v="3"/>
    <x v="18"/>
    <s v="Encerrado"/>
    <n v="1800"/>
    <x v="6"/>
    <n v="430"/>
    <s v="Caminhão Baú"/>
    <x v="3"/>
    <d v="2019-09-07T00:00:00"/>
    <s v="Finalizada - Em Dia"/>
    <x v="0"/>
    <d v="2019-09-07T00:00:00"/>
    <s v="Finalizada - Em Dia"/>
  </r>
  <r>
    <x v="3"/>
    <x v="19"/>
    <s v="Encerrado"/>
    <n v="1883.7209302325582"/>
    <x v="6"/>
    <n v="450"/>
    <s v="Caminhão Baú"/>
    <x v="3"/>
    <d v="2019-10-16T00:00:00"/>
    <s v="Finalizada - Em Dia"/>
    <x v="0"/>
    <d v="2019-10-16T00:00:00"/>
    <s v="Finalizada - Em Dia"/>
  </r>
  <r>
    <x v="3"/>
    <x v="20"/>
    <s v="Aberto"/>
    <n v="1632.5581395348838"/>
    <x v="6"/>
    <n v="390"/>
    <s v="Caminhão Baú"/>
    <x v="3"/>
    <d v="2019-12-22T00:00:00"/>
    <s v="Em Aberto - Atrasada"/>
    <x v="0"/>
    <d v="2019-12-22T00:00:00"/>
    <s v="Em Aberto - Atrasada"/>
  </r>
  <r>
    <x v="4"/>
    <x v="21"/>
    <s v="Encerrado"/>
    <n v="916.12500000000011"/>
    <x v="7"/>
    <n v="25"/>
    <s v="Utilitário Pequeno"/>
    <x v="3"/>
    <d v="2019-04-05T00:00:00"/>
    <s v="Finalizada - Em Dia"/>
    <x v="0"/>
    <d v="2019-04-05T00:00:00"/>
    <s v="Finalizada - Em Dia"/>
  </r>
  <r>
    <x v="4"/>
    <x v="22"/>
    <s v="Encerrado"/>
    <n v="854.4"/>
    <x v="7"/>
    <n v="30"/>
    <s v="Utilitário Pequeno"/>
    <x v="3"/>
    <d v="2019-05-10T00:00:00"/>
    <s v="Finalizada - Em Dia"/>
    <x v="0"/>
    <d v="2019-05-10T00:00:00"/>
    <s v="Finalizada - Em Dia"/>
  </r>
  <r>
    <x v="4"/>
    <x v="9"/>
    <s v="Encerrado"/>
    <n v="884.2156521739131"/>
    <x v="7"/>
    <n v="28"/>
    <s v="Utilitário Pequeno"/>
    <x v="3"/>
    <d v="2019-05-22T00:00:00"/>
    <s v="Finalizada - Em Dia"/>
    <x v="0"/>
    <d v="2019-05-22T00:00:00"/>
    <s v="Finalizada - Em Dia"/>
  </r>
  <r>
    <x v="4"/>
    <x v="23"/>
    <s v="Encerrado"/>
    <n v="645.88571428571424"/>
    <x v="7"/>
    <n v="20"/>
    <s v="Utilitário Pequeno"/>
    <x v="3"/>
    <d v="2019-12-05T00:00:00"/>
    <s v="Finalizada - Em Dia"/>
    <x v="0"/>
    <d v="2019-12-05T00:00:00"/>
    <s v="Finalizada - Em Dia"/>
  </r>
  <r>
    <x v="4"/>
    <x v="24"/>
    <s v="Aberto"/>
    <n v="614.77714285714285"/>
    <x v="7"/>
    <n v="18"/>
    <s v="Utilitário Pequeno"/>
    <x v="3"/>
    <d v="2019-12-09T00:00:00"/>
    <s v="Em Aberto - Atrasada"/>
    <x v="0"/>
    <d v="2019-12-09T00:00:00"/>
    <s v="Em Aberto - Atrasada"/>
  </r>
  <r>
    <x v="4"/>
    <x v="25"/>
    <s v="Aberto"/>
    <n v="174.56268221574345"/>
    <x v="7"/>
    <n v="25"/>
    <s v="Utilitário Pequeno"/>
    <x v="3"/>
    <d v="2020-01-12T00:00:00"/>
    <s v="Em Aberto - Atrasada"/>
    <x v="0"/>
    <d v="2020-01-12T00:00:00"/>
    <s v="Em Aberto - Atrasada"/>
  </r>
  <r>
    <x v="4"/>
    <x v="26"/>
    <s v="Aberto"/>
    <n v="251.37026239067058"/>
    <x v="7"/>
    <n v="36"/>
    <s v="Utilitário Pequeno"/>
    <x v="3"/>
    <d v="2020-01-24T00:00:00"/>
    <s v="Em Aberto - Em Dia"/>
    <x v="0"/>
    <d v="2020-01-24T00:00:00"/>
    <s v="Em Aberto - Atrasada"/>
  </r>
  <r>
    <x v="4"/>
    <x v="26"/>
    <s v="Aberto"/>
    <n v="251.37026239067058"/>
    <x v="7"/>
    <n v="36"/>
    <s v="Utilitário Pequeno"/>
    <x v="3"/>
    <d v="2020-01-24T00:00:00"/>
    <s v="Em Aberto - Em Dia"/>
    <x v="0"/>
    <d v="2020-01-24T00:00:00"/>
    <s v="Em Aberto - Atrasada"/>
  </r>
  <r>
    <x v="4"/>
    <x v="26"/>
    <s v="Aberto"/>
    <n v="251.37026239067058"/>
    <x v="7"/>
    <n v="36"/>
    <s v="Utilitário Pequeno"/>
    <x v="3"/>
    <d v="2020-01-24T00:00:00"/>
    <s v="Em Aberto - Em Dia"/>
    <x v="0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Atrasada"/>
    <s v="SP"/>
    <d v="2019-12-09T00:00:00"/>
    <s v="Em Aberto - Atrasad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Em Dia"/>
    <s v="SP"/>
    <d v="2020-01-24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Em Dia"/>
    <s v="SP"/>
    <d v="2020-01-24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Em Di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98D6E8-9211-4DFB-A98B-9A4970D30659}" name="Tabela dinâmica2" cacheId="2" applyNumberFormats="0" applyBorderFormats="0" applyFontFormats="0" applyPatternFormats="0" applyAlignmentFormats="0" applyWidthHeightFormats="1" dataCaption="Valores" updatedVersion="8" minRefreshableVersion="5" useAutoFormatting="1" colGrandTotals="0" itemPrintTitles="1" createdVersion="8" indent="0" compact="0" compactData="0" multipleFieldFilters="0" chartFormat="11">
  <location ref="A13:C22" firstHeaderRow="0" firstDataRow="1" firstDataCol="1"/>
  <pivotFields count="13">
    <pivotField compact="0" outline="0" showAll="0" defaultSubtotal="0">
      <items count="5">
        <item x="3"/>
        <item x="1"/>
        <item x="0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27"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16"/>
        <item x="25"/>
        <item x="17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sd="0" x="7"/>
        <item sd="0" x="2"/>
        <item sd="0" x="5"/>
        <item sd="0" x="3"/>
        <item sd="0" x="0"/>
        <item sd="0" x="6"/>
        <item sd="0" x="1"/>
        <item sd="0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7">
    <format dxfId="13">
      <pivotArea outline="0" collapsedLevelsAreSubtotals="1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4" type="button" dataOnly="0" labelOnly="1" outline="0" axis="axisRow" fieldPosition="0"/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outline="0" collapsedLevelsAreSubtotals="1" fieldPosition="0"/>
    </format>
  </formats>
  <chartFormats count="4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D86B11-22A8-44E1-8E9E-5F39A369C396}" name="Tabela dinâmica3" cacheId="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>
  <location ref="E13:F18" firstHeaderRow="1" firstDataRow="1" firstDataCol="1"/>
  <pivotFields count="13">
    <pivotField showAll="0">
      <items count="6">
        <item x="3"/>
        <item x="1"/>
        <item x="0"/>
        <item x="4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items count="28"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16"/>
        <item x="25"/>
        <item x="17"/>
        <item x="2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4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">
        <item sd="0" x="2"/>
        <item sd="0" x="0"/>
        <item sd="0" x="1"/>
        <item sd="0" x="3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5">
        <item x="2"/>
        <item x="3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/>
  </dataFields>
  <formats count="5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0" type="button" dataOnly="0" labelOnly="1" outline="0"/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10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5" format="2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5" format="25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5" format="2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260855-423F-4FAE-9B6D-2C4134DD3774}" name="Tabela dinâmica2" cacheId="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1">
    <format dxfId="0">
      <pivotArea outline="0" collapsedLevelsAreSubtotals="1" fieldPosition="0"/>
    </format>
  </formats>
  <chartFormats count="10">
    <chartFormat chart="3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798094C7-E3B0-4A86-A120-000E484F0407}" sourceName="Cliente">
  <pivotTables>
    <pivotTable tabId="4" name="Tabela dinâmica3"/>
    <pivotTable tabId="4" name="Tabela dinâmica2"/>
  </pivotTables>
  <data>
    <tabular pivotCacheId="2094771467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47F4DC6C-427C-45ED-898E-5DB4E82EFD94}" cache="SegmentaçãodeDados_Cliente" caption="Cliente" style="SlicerStyleLight2" rowHeight="23495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2384184E-3EEF-48CD-B3FC-4AE31464E435}" sourceName="Data Contrato">
  <pivotTables>
    <pivotTable tabId="4" name="Tabela dinâmica3"/>
    <pivotTable tabId="4" name="Tabela dinâmica2"/>
  </pivotTables>
  <state minimalRefreshVersion="6" lastRefreshVersion="6" pivotCacheId="2094771467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2CB33293-C0A5-4A8F-8A40-B1DE949B464C}" cache="NativeTimeline_Data_Contrato" caption="Data Contrato" level="2" selectionLevel="2" scrollPosition="2019-01-01T00:00:00" style="TimeSlicerStyleDark2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39F4196A-D584-42A3-813D-DC3F928A0F76}" cache="NativeTimeline_Data_Contrato" caption="Data Contrato" level="2" selectionLevel="2" scrollPosition="2019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1/relationships/timeline" Target="../timelines/timelin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FB357-7FE2-427E-8E4B-FAF99993B206}">
  <sheetPr codeName="Planilha1"/>
  <dimension ref="A10:F30"/>
  <sheetViews>
    <sheetView showGridLines="0" zoomScale="85" zoomScaleNormal="85" workbookViewId="0">
      <selection activeCell="D23" sqref="D23"/>
    </sheetView>
  </sheetViews>
  <sheetFormatPr defaultRowHeight="14.4" x14ac:dyDescent="0.3"/>
  <cols>
    <col min="1" max="1" width="18.33203125" bestFit="1" customWidth="1"/>
    <col min="2" max="2" width="17.44140625" bestFit="1" customWidth="1"/>
    <col min="3" max="4" width="20.21875" bestFit="1" customWidth="1"/>
    <col min="5" max="5" width="18.5546875" bestFit="1" customWidth="1"/>
    <col min="6" max="7" width="25.5546875" bestFit="1" customWidth="1"/>
    <col min="8" max="22" width="10.44140625" bestFit="1" customWidth="1"/>
    <col min="23" max="30" width="12" bestFit="1" customWidth="1"/>
  </cols>
  <sheetData>
    <row r="10" spans="1:6" ht="15" thickBot="1" x14ac:dyDescent="0.35"/>
    <row r="11" spans="1:6" ht="15" thickBot="1" x14ac:dyDescent="0.35"/>
    <row r="12" spans="1:6" ht="9.6" customHeight="1" thickBot="1" x14ac:dyDescent="0.35"/>
    <row r="13" spans="1:6" ht="15" thickBot="1" x14ac:dyDescent="0.35">
      <c r="A13" s="8" t="s">
        <v>1</v>
      </c>
      <c r="B13" s="10" t="s">
        <v>43</v>
      </c>
      <c r="C13" s="11" t="s">
        <v>44</v>
      </c>
      <c r="E13" s="6" t="s">
        <v>40</v>
      </c>
      <c r="F13" s="12" t="s">
        <v>41</v>
      </c>
    </row>
    <row r="14" spans="1:6" x14ac:dyDescent="0.3">
      <c r="A14" s="13" t="s">
        <v>39</v>
      </c>
      <c r="B14" s="36">
        <v>254</v>
      </c>
      <c r="C14" s="37">
        <v>9</v>
      </c>
      <c r="E14" s="7" t="s">
        <v>37</v>
      </c>
      <c r="F14" s="30">
        <v>3320</v>
      </c>
    </row>
    <row r="15" spans="1:6" x14ac:dyDescent="0.3">
      <c r="A15" s="13" t="s">
        <v>29</v>
      </c>
      <c r="B15" s="13">
        <v>1193</v>
      </c>
      <c r="C15" s="29">
        <v>5</v>
      </c>
      <c r="E15" s="7" t="s">
        <v>23</v>
      </c>
      <c r="F15" s="31">
        <v>3846.7200000000003</v>
      </c>
    </row>
    <row r="16" spans="1:6" x14ac:dyDescent="0.3">
      <c r="A16" s="13" t="s">
        <v>34</v>
      </c>
      <c r="B16" s="13">
        <v>5</v>
      </c>
      <c r="C16" s="29">
        <v>2</v>
      </c>
      <c r="E16" s="7" t="s">
        <v>30</v>
      </c>
      <c r="F16" s="31">
        <v>8330.1311953352779</v>
      </c>
    </row>
    <row r="17" spans="1:6" ht="15" thickBot="1" x14ac:dyDescent="0.35">
      <c r="A17" s="13" t="s">
        <v>32</v>
      </c>
      <c r="B17" s="13">
        <v>55</v>
      </c>
      <c r="C17" s="29">
        <v>4</v>
      </c>
      <c r="E17" s="7" t="s">
        <v>27</v>
      </c>
      <c r="F17" s="31">
        <v>10160.356048471966</v>
      </c>
    </row>
    <row r="18" spans="1:6" ht="15" thickBot="1" x14ac:dyDescent="0.35">
      <c r="A18" s="13" t="s">
        <v>20</v>
      </c>
      <c r="B18" s="13">
        <v>76</v>
      </c>
      <c r="C18" s="29">
        <v>3</v>
      </c>
      <c r="E18" s="9" t="s">
        <v>42</v>
      </c>
      <c r="F18" s="32">
        <v>25657.207243807243</v>
      </c>
    </row>
    <row r="19" spans="1:6" x14ac:dyDescent="0.3">
      <c r="A19" s="13" t="s">
        <v>35</v>
      </c>
      <c r="B19" s="13">
        <v>1270</v>
      </c>
      <c r="C19" s="29">
        <v>3</v>
      </c>
    </row>
    <row r="20" spans="1:6" x14ac:dyDescent="0.3">
      <c r="A20" s="13" t="s">
        <v>5</v>
      </c>
      <c r="B20" s="13">
        <v>39</v>
      </c>
      <c r="C20" s="29">
        <v>3</v>
      </c>
    </row>
    <row r="21" spans="1:6" ht="15" thickBot="1" x14ac:dyDescent="0.35">
      <c r="A21" s="13" t="s">
        <v>33</v>
      </c>
      <c r="B21" s="13">
        <v>23</v>
      </c>
      <c r="C21" s="29">
        <v>1</v>
      </c>
    </row>
    <row r="22" spans="1:6" ht="15" thickBot="1" x14ac:dyDescent="0.35">
      <c r="A22" s="12" t="s">
        <v>42</v>
      </c>
      <c r="B22" s="25">
        <v>2915</v>
      </c>
      <c r="C22" s="26">
        <v>30</v>
      </c>
    </row>
    <row r="29" spans="1:6" ht="15" thickBot="1" x14ac:dyDescent="0.35"/>
    <row r="30" spans="1:6" ht="15" thickBot="1" x14ac:dyDescent="0.35"/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EF6D0-0158-4AB9-9AF7-482E8661E530}">
  <sheetPr codeName="Planilha2"/>
  <dimension ref="A1:BB20"/>
  <sheetViews>
    <sheetView topLeftCell="V1" zoomScale="115" zoomScaleNormal="115" workbookViewId="0">
      <selection activeCell="T1" sqref="T1:AJ1"/>
    </sheetView>
  </sheetViews>
  <sheetFormatPr defaultRowHeight="14.4" x14ac:dyDescent="0.3"/>
  <cols>
    <col min="2" max="8" width="8.88671875" hidden="1" customWidth="1"/>
    <col min="9" max="9" width="23.109375" hidden="1" customWidth="1"/>
    <col min="10" max="17" width="8.88671875" hidden="1" customWidth="1"/>
    <col min="18" max="18" width="33.44140625" hidden="1" customWidth="1"/>
    <col min="19" max="26" width="8.88671875" customWidth="1"/>
    <col min="27" max="27" width="23.109375" customWidth="1"/>
    <col min="28" max="35" width="8.88671875" customWidth="1"/>
    <col min="36" max="36" width="33.44140625" customWidth="1"/>
    <col min="38" max="44" width="8.88671875" hidden="1" customWidth="1"/>
    <col min="45" max="45" width="23.109375" hidden="1" customWidth="1"/>
    <col min="46" max="53" width="8.88671875" hidden="1" customWidth="1"/>
    <col min="54" max="54" width="33.44140625" hidden="1" customWidth="1"/>
  </cols>
  <sheetData>
    <row r="1" spans="1:54" ht="31.8" customHeight="1" thickBot="1" x14ac:dyDescent="0.35">
      <c r="A1" s="50" t="s">
        <v>54</v>
      </c>
      <c r="B1" s="42" t="s">
        <v>52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4"/>
      <c r="S1" s="49" t="s">
        <v>53</v>
      </c>
      <c r="T1" s="42" t="s">
        <v>52</v>
      </c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4"/>
      <c r="AK1" s="50" t="s">
        <v>55</v>
      </c>
      <c r="AL1" s="42" t="s">
        <v>52</v>
      </c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4"/>
    </row>
    <row r="2" spans="1:54" x14ac:dyDescent="0.3">
      <c r="A2" s="50"/>
      <c r="B2" s="14"/>
      <c r="C2" s="15"/>
      <c r="D2" s="15"/>
      <c r="E2" s="15"/>
      <c r="F2" s="15"/>
      <c r="G2" s="15"/>
      <c r="H2" s="16"/>
      <c r="I2" s="33" t="s">
        <v>45</v>
      </c>
      <c r="J2" s="14"/>
      <c r="K2" s="15"/>
      <c r="L2" s="15"/>
      <c r="M2" s="15"/>
      <c r="N2" s="15"/>
      <c r="O2" s="15"/>
      <c r="P2" s="15"/>
      <c r="Q2" s="16"/>
      <c r="R2" s="34" t="s">
        <v>48</v>
      </c>
      <c r="S2" s="49"/>
      <c r="T2" s="14"/>
      <c r="U2" s="15"/>
      <c r="V2" s="15"/>
      <c r="W2" s="15"/>
      <c r="X2" s="15"/>
      <c r="Y2" s="15"/>
      <c r="Z2" s="16"/>
      <c r="AA2" s="33" t="s">
        <v>45</v>
      </c>
      <c r="AB2" s="14"/>
      <c r="AC2" s="15"/>
      <c r="AD2" s="15"/>
      <c r="AE2" s="15"/>
      <c r="AF2" s="15"/>
      <c r="AG2" s="15"/>
      <c r="AH2" s="15"/>
      <c r="AI2" s="16"/>
      <c r="AJ2" s="34" t="s">
        <v>48</v>
      </c>
      <c r="AK2" s="50"/>
      <c r="AL2" s="14"/>
      <c r="AM2" s="15"/>
      <c r="AN2" s="15"/>
      <c r="AO2" s="15"/>
      <c r="AP2" s="15"/>
      <c r="AQ2" s="15"/>
      <c r="AR2" s="16"/>
      <c r="AS2" s="33" t="s">
        <v>45</v>
      </c>
      <c r="AT2" s="14"/>
      <c r="AU2" s="15"/>
      <c r="AV2" s="15"/>
      <c r="AW2" s="15"/>
      <c r="AX2" s="15"/>
      <c r="AY2" s="15"/>
      <c r="AZ2" s="15"/>
      <c r="BA2" s="16"/>
      <c r="BB2" s="34" t="s">
        <v>48</v>
      </c>
    </row>
    <row r="3" spans="1:54" x14ac:dyDescent="0.3">
      <c r="A3" s="50"/>
      <c r="B3" s="14"/>
      <c r="C3" s="15"/>
      <c r="D3" s="15"/>
      <c r="E3" s="15"/>
      <c r="F3" s="15"/>
      <c r="G3" s="15"/>
      <c r="H3" s="16"/>
      <c r="I3" s="40">
        <f>GETPIVOTDATA("Soma de Peso (Kg)",Tabelas!$A$13)</f>
        <v>2915</v>
      </c>
      <c r="J3" s="14"/>
      <c r="K3" s="15"/>
      <c r="L3" s="15"/>
      <c r="M3" s="15"/>
      <c r="N3" s="15"/>
      <c r="O3" s="15"/>
      <c r="P3" s="15"/>
      <c r="Q3" s="16"/>
      <c r="R3" s="47">
        <f>GETPIVOTDATA("Valor do Contrato",Tabelas!$E$13)</f>
        <v>25657.207243807243</v>
      </c>
      <c r="S3" s="49"/>
      <c r="T3" s="14"/>
      <c r="U3" s="15"/>
      <c r="V3" s="15"/>
      <c r="W3" s="15"/>
      <c r="X3" s="15"/>
      <c r="Y3" s="15"/>
      <c r="Z3" s="16"/>
      <c r="AA3" s="40">
        <f>SUM('Base Filtrada'!F6:F48)</f>
        <v>2915</v>
      </c>
      <c r="AB3" s="14"/>
      <c r="AC3" s="15"/>
      <c r="AD3" s="15"/>
      <c r="AE3" s="15"/>
      <c r="AF3" s="15"/>
      <c r="AG3" s="15"/>
      <c r="AH3" s="15"/>
      <c r="AI3" s="16"/>
      <c r="AJ3" s="47">
        <f>SUM('Base Filtrada'!D6:D67)</f>
        <v>25657.20724380725</v>
      </c>
      <c r="AK3" s="50"/>
      <c r="AL3" s="14"/>
      <c r="AM3" s="15"/>
      <c r="AN3" s="15"/>
      <c r="AO3" s="15"/>
      <c r="AP3" s="15"/>
      <c r="AQ3" s="15"/>
      <c r="AR3" s="16"/>
      <c r="AS3" s="40">
        <f>GETPIVOTDATA("Soma de Peso (Kg)",Tabelas!$A$13)</f>
        <v>2915</v>
      </c>
      <c r="AT3" s="14"/>
      <c r="AU3" s="15"/>
      <c r="AV3" s="15"/>
      <c r="AW3" s="15"/>
      <c r="AX3" s="15"/>
      <c r="AY3" s="15"/>
      <c r="AZ3" s="15"/>
      <c r="BA3" s="16"/>
      <c r="BB3" s="47">
        <f>GETPIVOTDATA("Valor do Contrato",Tabelas!$E$13)</f>
        <v>25657.207243807243</v>
      </c>
    </row>
    <row r="4" spans="1:54" x14ac:dyDescent="0.3">
      <c r="A4" s="50"/>
      <c r="B4" s="14"/>
      <c r="C4" s="15"/>
      <c r="D4" s="15"/>
      <c r="E4" s="15"/>
      <c r="F4" s="15"/>
      <c r="G4" s="15"/>
      <c r="H4" s="16"/>
      <c r="I4" s="40"/>
      <c r="J4" s="14"/>
      <c r="K4" s="15"/>
      <c r="L4" s="15"/>
      <c r="M4" s="15"/>
      <c r="N4" s="15"/>
      <c r="O4" s="15"/>
      <c r="P4" s="15"/>
      <c r="Q4" s="16"/>
      <c r="R4" s="47"/>
      <c r="S4" s="49"/>
      <c r="T4" s="14"/>
      <c r="U4" s="15"/>
      <c r="V4" s="15"/>
      <c r="W4" s="15"/>
      <c r="X4" s="15"/>
      <c r="Y4" s="15"/>
      <c r="Z4" s="16"/>
      <c r="AA4" s="40"/>
      <c r="AB4" s="14"/>
      <c r="AC4" s="15"/>
      <c r="AD4" s="15"/>
      <c r="AE4" s="15"/>
      <c r="AF4" s="15"/>
      <c r="AG4" s="15"/>
      <c r="AH4" s="15"/>
      <c r="AI4" s="16"/>
      <c r="AJ4" s="47"/>
      <c r="AK4" s="50"/>
      <c r="AL4" s="14"/>
      <c r="AM4" s="15"/>
      <c r="AN4" s="15"/>
      <c r="AO4" s="15"/>
      <c r="AP4" s="15"/>
      <c r="AQ4" s="15"/>
      <c r="AR4" s="16"/>
      <c r="AS4" s="40"/>
      <c r="AT4" s="14"/>
      <c r="AU4" s="15"/>
      <c r="AV4" s="15"/>
      <c r="AW4" s="15"/>
      <c r="AX4" s="15"/>
      <c r="AY4" s="15"/>
      <c r="AZ4" s="15"/>
      <c r="BA4" s="16"/>
      <c r="BB4" s="47"/>
    </row>
    <row r="5" spans="1:54" x14ac:dyDescent="0.3">
      <c r="A5" s="50"/>
      <c r="B5" s="14"/>
      <c r="C5" s="15"/>
      <c r="D5" s="15"/>
      <c r="E5" s="15"/>
      <c r="F5" s="15"/>
      <c r="G5" s="15"/>
      <c r="H5" s="16"/>
      <c r="I5" s="40"/>
      <c r="J5" s="14"/>
      <c r="K5" s="15"/>
      <c r="L5" s="15"/>
      <c r="M5" s="15"/>
      <c r="N5" s="15"/>
      <c r="O5" s="15"/>
      <c r="P5" s="15"/>
      <c r="Q5" s="16"/>
      <c r="R5" s="47"/>
      <c r="S5" s="49"/>
      <c r="T5" s="14"/>
      <c r="U5" s="15"/>
      <c r="V5" s="15"/>
      <c r="W5" s="15"/>
      <c r="X5" s="15"/>
      <c r="Y5" s="15"/>
      <c r="Z5" s="16"/>
      <c r="AA5" s="40"/>
      <c r="AB5" s="14"/>
      <c r="AC5" s="15"/>
      <c r="AD5" s="15"/>
      <c r="AE5" s="15"/>
      <c r="AF5" s="15"/>
      <c r="AG5" s="15"/>
      <c r="AH5" s="15"/>
      <c r="AI5" s="16"/>
      <c r="AJ5" s="47"/>
      <c r="AK5" s="50"/>
      <c r="AL5" s="14"/>
      <c r="AM5" s="15"/>
      <c r="AN5" s="15"/>
      <c r="AO5" s="15"/>
      <c r="AP5" s="15"/>
      <c r="AQ5" s="15"/>
      <c r="AR5" s="16"/>
      <c r="AS5" s="40"/>
      <c r="AT5" s="14"/>
      <c r="AU5" s="15"/>
      <c r="AV5" s="15"/>
      <c r="AW5" s="15"/>
      <c r="AX5" s="15"/>
      <c r="AY5" s="15"/>
      <c r="AZ5" s="15"/>
      <c r="BA5" s="16"/>
      <c r="BB5" s="47"/>
    </row>
    <row r="6" spans="1:54" x14ac:dyDescent="0.3">
      <c r="A6" s="50"/>
      <c r="B6" s="14"/>
      <c r="C6" s="15"/>
      <c r="D6" s="15"/>
      <c r="E6" s="15"/>
      <c r="F6" s="15"/>
      <c r="G6" s="15"/>
      <c r="H6" s="16"/>
      <c r="I6" s="40"/>
      <c r="J6" s="14"/>
      <c r="K6" s="15"/>
      <c r="L6" s="15"/>
      <c r="M6" s="15"/>
      <c r="N6" s="15"/>
      <c r="O6" s="15"/>
      <c r="P6" s="15"/>
      <c r="Q6" s="16"/>
      <c r="R6" s="47"/>
      <c r="S6" s="49"/>
      <c r="T6" s="14"/>
      <c r="U6" s="15"/>
      <c r="V6" s="15"/>
      <c r="W6" s="15"/>
      <c r="X6" s="15"/>
      <c r="Y6" s="15"/>
      <c r="Z6" s="16"/>
      <c r="AA6" s="40"/>
      <c r="AB6" s="14"/>
      <c r="AC6" s="15"/>
      <c r="AD6" s="15"/>
      <c r="AE6" s="15"/>
      <c r="AF6" s="15"/>
      <c r="AG6" s="15"/>
      <c r="AH6" s="15"/>
      <c r="AI6" s="16"/>
      <c r="AJ6" s="47"/>
      <c r="AK6" s="50"/>
      <c r="AL6" s="14"/>
      <c r="AM6" s="15"/>
      <c r="AN6" s="15"/>
      <c r="AO6" s="15"/>
      <c r="AP6" s="15"/>
      <c r="AQ6" s="15"/>
      <c r="AR6" s="16"/>
      <c r="AS6" s="40"/>
      <c r="AT6" s="14"/>
      <c r="AU6" s="15"/>
      <c r="AV6" s="15"/>
      <c r="AW6" s="15"/>
      <c r="AX6" s="15"/>
      <c r="AY6" s="15"/>
      <c r="AZ6" s="15"/>
      <c r="BA6" s="16"/>
      <c r="BB6" s="47"/>
    </row>
    <row r="7" spans="1:54" ht="15" thickBot="1" x14ac:dyDescent="0.35">
      <c r="A7" s="50"/>
      <c r="B7" s="14"/>
      <c r="C7" s="15"/>
      <c r="D7" s="15"/>
      <c r="E7" s="15"/>
      <c r="F7" s="15"/>
      <c r="G7" s="15"/>
      <c r="H7" s="16"/>
      <c r="I7" s="41"/>
      <c r="J7" s="14"/>
      <c r="K7" s="15"/>
      <c r="L7" s="15"/>
      <c r="M7" s="15"/>
      <c r="N7" s="15"/>
      <c r="O7" s="15"/>
      <c r="P7" s="15"/>
      <c r="Q7" s="16"/>
      <c r="R7" s="48"/>
      <c r="S7" s="49"/>
      <c r="T7" s="14"/>
      <c r="U7" s="15"/>
      <c r="V7" s="15"/>
      <c r="W7" s="15"/>
      <c r="X7" s="15"/>
      <c r="Y7" s="15"/>
      <c r="Z7" s="16"/>
      <c r="AA7" s="41"/>
      <c r="AB7" s="14"/>
      <c r="AC7" s="15"/>
      <c r="AD7" s="15"/>
      <c r="AE7" s="15"/>
      <c r="AF7" s="15"/>
      <c r="AG7" s="15"/>
      <c r="AH7" s="15"/>
      <c r="AI7" s="16"/>
      <c r="AJ7" s="48"/>
      <c r="AK7" s="50"/>
      <c r="AL7" s="14"/>
      <c r="AM7" s="15"/>
      <c r="AN7" s="15"/>
      <c r="AO7" s="15"/>
      <c r="AP7" s="15"/>
      <c r="AQ7" s="15"/>
      <c r="AR7" s="16"/>
      <c r="AS7" s="41"/>
      <c r="AT7" s="14"/>
      <c r="AU7" s="15"/>
      <c r="AV7" s="15"/>
      <c r="AW7" s="15"/>
      <c r="AX7" s="15"/>
      <c r="AY7" s="15"/>
      <c r="AZ7" s="15"/>
      <c r="BA7" s="16"/>
      <c r="BB7" s="48"/>
    </row>
    <row r="8" spans="1:54" x14ac:dyDescent="0.3">
      <c r="A8" s="50"/>
      <c r="B8" s="14"/>
      <c r="C8" s="15"/>
      <c r="D8" s="15"/>
      <c r="E8" s="15"/>
      <c r="F8" s="15"/>
      <c r="G8" s="15"/>
      <c r="H8" s="16"/>
      <c r="I8" s="20" t="s">
        <v>46</v>
      </c>
      <c r="J8" s="14"/>
      <c r="K8" s="15"/>
      <c r="L8" s="15"/>
      <c r="M8" s="15"/>
      <c r="N8" s="15"/>
      <c r="O8" s="15"/>
      <c r="P8" s="15"/>
      <c r="Q8" s="16"/>
      <c r="R8" s="21" t="s">
        <v>49</v>
      </c>
      <c r="S8" s="49"/>
      <c r="T8" s="14"/>
      <c r="U8" s="15"/>
      <c r="V8" s="15"/>
      <c r="W8" s="15"/>
      <c r="X8" s="15"/>
      <c r="Y8" s="15"/>
      <c r="Z8" s="16"/>
      <c r="AA8" s="20" t="s">
        <v>46</v>
      </c>
      <c r="AB8" s="14"/>
      <c r="AC8" s="15"/>
      <c r="AD8" s="15"/>
      <c r="AE8" s="15"/>
      <c r="AF8" s="15"/>
      <c r="AG8" s="15"/>
      <c r="AH8" s="15"/>
      <c r="AI8" s="16"/>
      <c r="AJ8" s="21" t="s">
        <v>49</v>
      </c>
      <c r="AK8" s="50"/>
      <c r="AL8" s="14"/>
      <c r="AM8" s="15"/>
      <c r="AN8" s="15"/>
      <c r="AO8" s="15"/>
      <c r="AP8" s="15"/>
      <c r="AQ8" s="15"/>
      <c r="AR8" s="16"/>
      <c r="AS8" s="20" t="s">
        <v>46</v>
      </c>
      <c r="AT8" s="14"/>
      <c r="AU8" s="15"/>
      <c r="AV8" s="15"/>
      <c r="AW8" s="15"/>
      <c r="AX8" s="15"/>
      <c r="AY8" s="15"/>
      <c r="AZ8" s="15"/>
      <c r="BA8" s="16"/>
      <c r="BB8" s="21" t="s">
        <v>49</v>
      </c>
    </row>
    <row r="9" spans="1:54" x14ac:dyDescent="0.3">
      <c r="A9" s="50"/>
      <c r="B9" s="14"/>
      <c r="C9" s="15"/>
      <c r="D9" s="15"/>
      <c r="E9" s="15"/>
      <c r="F9" s="15"/>
      <c r="G9" s="15"/>
      <c r="H9" s="16"/>
      <c r="I9" s="40">
        <f>GETPIVOTDATA("Contagem de Destino",Tabelas!$A$13)</f>
        <v>30</v>
      </c>
      <c r="J9" s="14"/>
      <c r="K9" s="15"/>
      <c r="L9" s="15"/>
      <c r="M9" s="15"/>
      <c r="N9" s="15"/>
      <c r="O9" s="15"/>
      <c r="P9" s="15"/>
      <c r="Q9" s="16"/>
      <c r="R9" s="40">
        <f>COUNTIF(situacaoPartidas,"Em Aberto - Atrasada")</f>
        <v>8</v>
      </c>
      <c r="S9" s="49"/>
      <c r="T9" s="14"/>
      <c r="U9" s="15"/>
      <c r="V9" s="15"/>
      <c r="W9" s="15"/>
      <c r="X9" s="15"/>
      <c r="Y9" s="15"/>
      <c r="Z9" s="16"/>
      <c r="AA9" s="40">
        <f>COUNTA('Base Filtrada'!H6:H59)</f>
        <v>30</v>
      </c>
      <c r="AB9" s="14"/>
      <c r="AC9" s="15"/>
      <c r="AD9" s="15"/>
      <c r="AE9" s="15"/>
      <c r="AF9" s="15"/>
      <c r="AG9" s="15"/>
      <c r="AH9" s="15"/>
      <c r="AI9" s="16"/>
      <c r="AJ9" s="40">
        <f>COUNTIF('Base Filtrada'!J6:J51,"Em Aberto - Atrasada")</f>
        <v>8</v>
      </c>
      <c r="AK9" s="50"/>
      <c r="AL9" s="14"/>
      <c r="AM9" s="15"/>
      <c r="AN9" s="15"/>
      <c r="AO9" s="15"/>
      <c r="AP9" s="15"/>
      <c r="AQ9" s="15"/>
      <c r="AR9" s="16"/>
      <c r="AS9" s="40">
        <f>GETPIVOTDATA("Contagem de Destino",Tabelas!$A$13)</f>
        <v>30</v>
      </c>
      <c r="AT9" s="14"/>
      <c r="AU9" s="15"/>
      <c r="AV9" s="15"/>
      <c r="AW9" s="15"/>
      <c r="AX9" s="15"/>
      <c r="AY9" s="15"/>
      <c r="AZ9" s="15"/>
      <c r="BA9" s="16"/>
      <c r="BB9" s="40">
        <f>COUNTIF(situacaoPartidas,"Em Aberto - Atrasada")</f>
        <v>8</v>
      </c>
    </row>
    <row r="10" spans="1:54" x14ac:dyDescent="0.3">
      <c r="A10" s="50"/>
      <c r="B10" s="14"/>
      <c r="C10" s="15"/>
      <c r="D10" s="15"/>
      <c r="E10" s="15"/>
      <c r="F10" s="15"/>
      <c r="G10" s="15"/>
      <c r="H10" s="16"/>
      <c r="I10" s="40"/>
      <c r="J10" s="14"/>
      <c r="K10" s="15"/>
      <c r="L10" s="15"/>
      <c r="M10" s="15"/>
      <c r="N10" s="15"/>
      <c r="O10" s="15"/>
      <c r="P10" s="15"/>
      <c r="Q10" s="16"/>
      <c r="R10" s="40"/>
      <c r="S10" s="49"/>
      <c r="T10" s="14"/>
      <c r="U10" s="15"/>
      <c r="V10" s="15"/>
      <c r="W10" s="15"/>
      <c r="X10" s="15"/>
      <c r="Y10" s="15"/>
      <c r="Z10" s="16"/>
      <c r="AA10" s="40"/>
      <c r="AB10" s="14"/>
      <c r="AC10" s="15"/>
      <c r="AD10" s="15"/>
      <c r="AE10" s="15"/>
      <c r="AF10" s="15"/>
      <c r="AG10" s="15"/>
      <c r="AH10" s="15"/>
      <c r="AI10" s="16"/>
      <c r="AJ10" s="40"/>
      <c r="AK10" s="50"/>
      <c r="AL10" s="14"/>
      <c r="AM10" s="15"/>
      <c r="AN10" s="15"/>
      <c r="AO10" s="15"/>
      <c r="AP10" s="15"/>
      <c r="AQ10" s="15"/>
      <c r="AR10" s="16"/>
      <c r="AS10" s="40"/>
      <c r="AT10" s="14"/>
      <c r="AU10" s="15"/>
      <c r="AV10" s="15"/>
      <c r="AW10" s="15"/>
      <c r="AX10" s="15"/>
      <c r="AY10" s="15"/>
      <c r="AZ10" s="15"/>
      <c r="BA10" s="16"/>
      <c r="BB10" s="40"/>
    </row>
    <row r="11" spans="1:54" x14ac:dyDescent="0.3">
      <c r="A11" s="50"/>
      <c r="B11" s="14"/>
      <c r="C11" s="15"/>
      <c r="D11" s="15"/>
      <c r="E11" s="15"/>
      <c r="F11" s="15"/>
      <c r="G11" s="15"/>
      <c r="H11" s="16"/>
      <c r="I11" s="40"/>
      <c r="J11" s="14"/>
      <c r="K11" s="15"/>
      <c r="L11" s="15"/>
      <c r="M11" s="15"/>
      <c r="N11" s="15"/>
      <c r="O11" s="15"/>
      <c r="P11" s="15"/>
      <c r="Q11" s="16"/>
      <c r="R11" s="40"/>
      <c r="S11" s="49"/>
      <c r="T11" s="14"/>
      <c r="U11" s="15"/>
      <c r="V11" s="15"/>
      <c r="W11" s="15"/>
      <c r="X11" s="15"/>
      <c r="Y11" s="15"/>
      <c r="Z11" s="16"/>
      <c r="AA11" s="40"/>
      <c r="AB11" s="14"/>
      <c r="AC11" s="15"/>
      <c r="AD11" s="15"/>
      <c r="AE11" s="15"/>
      <c r="AF11" s="15"/>
      <c r="AG11" s="15"/>
      <c r="AH11" s="15"/>
      <c r="AI11" s="16"/>
      <c r="AJ11" s="40"/>
      <c r="AK11" s="50"/>
      <c r="AL11" s="14"/>
      <c r="AM11" s="15"/>
      <c r="AN11" s="15"/>
      <c r="AO11" s="15"/>
      <c r="AP11" s="15"/>
      <c r="AQ11" s="15"/>
      <c r="AR11" s="16"/>
      <c r="AS11" s="40"/>
      <c r="AT11" s="14"/>
      <c r="AU11" s="15"/>
      <c r="AV11" s="15"/>
      <c r="AW11" s="15"/>
      <c r="AX11" s="15"/>
      <c r="AY11" s="15"/>
      <c r="AZ11" s="15"/>
      <c r="BA11" s="16"/>
      <c r="BB11" s="40"/>
    </row>
    <row r="12" spans="1:54" x14ac:dyDescent="0.3">
      <c r="A12" s="50"/>
      <c r="B12" s="14"/>
      <c r="C12" s="15"/>
      <c r="D12" s="15"/>
      <c r="E12" s="15"/>
      <c r="F12" s="15"/>
      <c r="G12" s="15"/>
      <c r="H12" s="16"/>
      <c r="I12" s="40"/>
      <c r="J12" s="14"/>
      <c r="K12" s="15"/>
      <c r="L12" s="15"/>
      <c r="M12" s="15"/>
      <c r="N12" s="15"/>
      <c r="O12" s="15"/>
      <c r="P12" s="15"/>
      <c r="Q12" s="16"/>
      <c r="R12" s="40"/>
      <c r="S12" s="49"/>
      <c r="T12" s="14"/>
      <c r="U12" s="15"/>
      <c r="V12" s="15"/>
      <c r="W12" s="15"/>
      <c r="X12" s="15"/>
      <c r="Y12" s="15"/>
      <c r="Z12" s="16"/>
      <c r="AA12" s="40"/>
      <c r="AB12" s="14"/>
      <c r="AC12" s="15"/>
      <c r="AD12" s="15"/>
      <c r="AE12" s="15"/>
      <c r="AF12" s="15"/>
      <c r="AG12" s="15"/>
      <c r="AH12" s="15"/>
      <c r="AI12" s="16"/>
      <c r="AJ12" s="40"/>
      <c r="AK12" s="50"/>
      <c r="AL12" s="14"/>
      <c r="AM12" s="15"/>
      <c r="AN12" s="15"/>
      <c r="AO12" s="15"/>
      <c r="AP12" s="15"/>
      <c r="AQ12" s="15"/>
      <c r="AR12" s="16"/>
      <c r="AS12" s="40"/>
      <c r="AT12" s="14"/>
      <c r="AU12" s="15"/>
      <c r="AV12" s="15"/>
      <c r="AW12" s="15"/>
      <c r="AX12" s="15"/>
      <c r="AY12" s="15"/>
      <c r="AZ12" s="15"/>
      <c r="BA12" s="16"/>
      <c r="BB12" s="40"/>
    </row>
    <row r="13" spans="1:54" ht="15" thickBot="1" x14ac:dyDescent="0.35">
      <c r="A13" s="50"/>
      <c r="B13" s="14"/>
      <c r="C13" s="15"/>
      <c r="D13" s="15"/>
      <c r="E13" s="15"/>
      <c r="F13" s="15"/>
      <c r="G13" s="15"/>
      <c r="H13" s="16"/>
      <c r="I13" s="41"/>
      <c r="J13" s="14"/>
      <c r="K13" s="15"/>
      <c r="L13" s="15"/>
      <c r="M13" s="15"/>
      <c r="N13" s="15"/>
      <c r="O13" s="15"/>
      <c r="P13" s="15"/>
      <c r="Q13" s="16"/>
      <c r="R13" s="41"/>
      <c r="S13" s="49"/>
      <c r="T13" s="14"/>
      <c r="U13" s="15"/>
      <c r="V13" s="15"/>
      <c r="W13" s="15"/>
      <c r="X13" s="15"/>
      <c r="Y13" s="15"/>
      <c r="Z13" s="16"/>
      <c r="AA13" s="41"/>
      <c r="AB13" s="14"/>
      <c r="AC13" s="15"/>
      <c r="AD13" s="15"/>
      <c r="AE13" s="15"/>
      <c r="AF13" s="15"/>
      <c r="AG13" s="15"/>
      <c r="AH13" s="15"/>
      <c r="AI13" s="16"/>
      <c r="AJ13" s="41"/>
      <c r="AK13" s="50"/>
      <c r="AL13" s="14"/>
      <c r="AM13" s="15"/>
      <c r="AN13" s="15"/>
      <c r="AO13" s="15"/>
      <c r="AP13" s="15"/>
      <c r="AQ13" s="15"/>
      <c r="AR13" s="16"/>
      <c r="AS13" s="41"/>
      <c r="AT13" s="14"/>
      <c r="AU13" s="15"/>
      <c r="AV13" s="15"/>
      <c r="AW13" s="15"/>
      <c r="AX13" s="15"/>
      <c r="AY13" s="15"/>
      <c r="AZ13" s="15"/>
      <c r="BA13" s="16"/>
      <c r="BB13" s="41"/>
    </row>
    <row r="14" spans="1:54" x14ac:dyDescent="0.3">
      <c r="A14" s="50"/>
      <c r="B14" s="14"/>
      <c r="C14" s="15"/>
      <c r="D14" s="15"/>
      <c r="E14" s="15"/>
      <c r="F14" s="15"/>
      <c r="G14" s="15"/>
      <c r="H14" s="16"/>
      <c r="I14" s="20" t="s">
        <v>47</v>
      </c>
      <c r="J14" s="14"/>
      <c r="K14" s="15"/>
      <c r="L14" s="15"/>
      <c r="M14" s="15"/>
      <c r="N14" s="15"/>
      <c r="O14" s="15"/>
      <c r="P14" s="15"/>
      <c r="Q14" s="16"/>
      <c r="R14" s="21" t="s">
        <v>50</v>
      </c>
      <c r="S14" s="49"/>
      <c r="T14" s="14"/>
      <c r="U14" s="15"/>
      <c r="V14" s="15"/>
      <c r="W14" s="15"/>
      <c r="X14" s="15"/>
      <c r="Y14" s="15"/>
      <c r="Z14" s="16"/>
      <c r="AA14" s="20" t="s">
        <v>47</v>
      </c>
      <c r="AB14" s="14"/>
      <c r="AC14" s="15"/>
      <c r="AD14" s="15"/>
      <c r="AE14" s="15"/>
      <c r="AF14" s="15"/>
      <c r="AG14" s="15"/>
      <c r="AH14" s="15"/>
      <c r="AI14" s="16"/>
      <c r="AJ14" s="21" t="s">
        <v>50</v>
      </c>
      <c r="AK14" s="50"/>
      <c r="AL14" s="14"/>
      <c r="AM14" s="15"/>
      <c r="AN14" s="15"/>
      <c r="AO14" s="15"/>
      <c r="AP14" s="15"/>
      <c r="AQ14" s="15"/>
      <c r="AR14" s="16"/>
      <c r="AS14" s="20" t="s">
        <v>47</v>
      </c>
      <c r="AT14" s="14"/>
      <c r="AU14" s="15"/>
      <c r="AV14" s="15"/>
      <c r="AW14" s="15"/>
      <c r="AX14" s="15"/>
      <c r="AY14" s="15"/>
      <c r="AZ14" s="15"/>
      <c r="BA14" s="16"/>
      <c r="BB14" s="21" t="s">
        <v>50</v>
      </c>
    </row>
    <row r="15" spans="1:54" x14ac:dyDescent="0.3">
      <c r="A15" s="50"/>
      <c r="B15" s="14"/>
      <c r="C15" s="15"/>
      <c r="D15" s="15"/>
      <c r="E15" s="15"/>
      <c r="F15" s="15"/>
      <c r="G15" s="15"/>
      <c r="H15" s="16"/>
      <c r="I15" s="45">
        <f>Dashboard!I3/Dashboard!I9</f>
        <v>97.166666666666671</v>
      </c>
      <c r="J15" s="14"/>
      <c r="K15" s="15"/>
      <c r="L15" s="15"/>
      <c r="M15" s="15"/>
      <c r="N15" s="15"/>
      <c r="O15" s="15"/>
      <c r="P15" s="15"/>
      <c r="Q15" s="16"/>
      <c r="R15" s="40">
        <f>COUNTIF(situacaoChegadas,"Em Aberto*")</f>
        <v>9</v>
      </c>
      <c r="S15" s="49"/>
      <c r="T15" s="14"/>
      <c r="U15" s="15"/>
      <c r="V15" s="15"/>
      <c r="W15" s="15"/>
      <c r="X15" s="15"/>
      <c r="Y15" s="15"/>
      <c r="Z15" s="16"/>
      <c r="AA15" s="45" cm="1">
        <f t="array" ref="AA15">fnCalculaMediaPeso(AA3,AA9)</f>
        <v>97.166666666666671</v>
      </c>
      <c r="AB15" s="14"/>
      <c r="AC15" s="15"/>
      <c r="AD15" s="15"/>
      <c r="AE15" s="15"/>
      <c r="AF15" s="15"/>
      <c r="AG15" s="15"/>
      <c r="AH15" s="15"/>
      <c r="AI15" s="16"/>
      <c r="AJ15" s="40">
        <f>COUNTIF('Base Filtrada'!M6:M51,"Em Aberto*")</f>
        <v>11</v>
      </c>
      <c r="AK15" s="50"/>
      <c r="AL15" s="14"/>
      <c r="AM15" s="15"/>
      <c r="AN15" s="15"/>
      <c r="AO15" s="15"/>
      <c r="AP15" s="15"/>
      <c r="AQ15" s="15"/>
      <c r="AR15" s="16"/>
      <c r="AS15" s="45">
        <f>Dashboard!AS3/Dashboard!AS9</f>
        <v>97.166666666666671</v>
      </c>
      <c r="AT15" s="14"/>
      <c r="AU15" s="15"/>
      <c r="AV15" s="15"/>
      <c r="AW15" s="15"/>
      <c r="AX15" s="15"/>
      <c r="AY15" s="15"/>
      <c r="AZ15" s="15"/>
      <c r="BA15" s="16"/>
      <c r="BB15" s="40">
        <f>COUNTIF(situacaoChegadas,"Em Aberto*")</f>
        <v>9</v>
      </c>
    </row>
    <row r="16" spans="1:54" x14ac:dyDescent="0.3">
      <c r="A16" s="50"/>
      <c r="B16" s="14"/>
      <c r="C16" s="15"/>
      <c r="D16" s="15"/>
      <c r="E16" s="15"/>
      <c r="F16" s="15"/>
      <c r="G16" s="15"/>
      <c r="H16" s="16"/>
      <c r="I16" s="45"/>
      <c r="J16" s="14"/>
      <c r="K16" s="15"/>
      <c r="L16" s="15"/>
      <c r="M16" s="15"/>
      <c r="N16" s="15"/>
      <c r="O16" s="15"/>
      <c r="P16" s="15"/>
      <c r="Q16" s="16"/>
      <c r="R16" s="40"/>
      <c r="S16" s="49"/>
      <c r="T16" s="14"/>
      <c r="U16" s="15"/>
      <c r="V16" s="15"/>
      <c r="W16" s="15"/>
      <c r="X16" s="15"/>
      <c r="Y16" s="15"/>
      <c r="Z16" s="16"/>
      <c r="AA16" s="45"/>
      <c r="AB16" s="14"/>
      <c r="AC16" s="15"/>
      <c r="AD16" s="15"/>
      <c r="AE16" s="15"/>
      <c r="AF16" s="15"/>
      <c r="AG16" s="15"/>
      <c r="AH16" s="15"/>
      <c r="AI16" s="16"/>
      <c r="AJ16" s="40"/>
      <c r="AK16" s="50"/>
      <c r="AL16" s="14"/>
      <c r="AM16" s="15"/>
      <c r="AN16" s="15"/>
      <c r="AO16" s="15"/>
      <c r="AP16" s="15"/>
      <c r="AQ16" s="15"/>
      <c r="AR16" s="16"/>
      <c r="AS16" s="45"/>
      <c r="AT16" s="14"/>
      <c r="AU16" s="15"/>
      <c r="AV16" s="15"/>
      <c r="AW16" s="15"/>
      <c r="AX16" s="15"/>
      <c r="AY16" s="15"/>
      <c r="AZ16" s="15"/>
      <c r="BA16" s="16"/>
      <c r="BB16" s="40"/>
    </row>
    <row r="17" spans="1:54" x14ac:dyDescent="0.3">
      <c r="A17" s="50"/>
      <c r="B17" s="14"/>
      <c r="C17" s="15"/>
      <c r="D17" s="15"/>
      <c r="E17" s="15"/>
      <c r="F17" s="15"/>
      <c r="G17" s="15"/>
      <c r="H17" s="16"/>
      <c r="I17" s="45"/>
      <c r="J17" s="14"/>
      <c r="K17" s="15"/>
      <c r="L17" s="15"/>
      <c r="M17" s="15"/>
      <c r="N17" s="15"/>
      <c r="O17" s="15"/>
      <c r="P17" s="15"/>
      <c r="Q17" s="16"/>
      <c r="R17" s="40"/>
      <c r="S17" s="49"/>
      <c r="T17" s="14"/>
      <c r="U17" s="15"/>
      <c r="V17" s="15"/>
      <c r="W17" s="15"/>
      <c r="X17" s="15"/>
      <c r="Y17" s="15"/>
      <c r="Z17" s="16"/>
      <c r="AA17" s="45"/>
      <c r="AB17" s="14"/>
      <c r="AC17" s="15"/>
      <c r="AD17" s="15"/>
      <c r="AE17" s="15"/>
      <c r="AF17" s="15"/>
      <c r="AG17" s="15"/>
      <c r="AH17" s="15"/>
      <c r="AI17" s="16"/>
      <c r="AJ17" s="40"/>
      <c r="AK17" s="50"/>
      <c r="AL17" s="14"/>
      <c r="AM17" s="15"/>
      <c r="AN17" s="15"/>
      <c r="AO17" s="15"/>
      <c r="AP17" s="15"/>
      <c r="AQ17" s="15"/>
      <c r="AR17" s="16"/>
      <c r="AS17" s="45"/>
      <c r="AT17" s="14"/>
      <c r="AU17" s="15"/>
      <c r="AV17" s="15"/>
      <c r="AW17" s="15"/>
      <c r="AX17" s="15"/>
      <c r="AY17" s="15"/>
      <c r="AZ17" s="15"/>
      <c r="BA17" s="16"/>
      <c r="BB17" s="40"/>
    </row>
    <row r="18" spans="1:54" x14ac:dyDescent="0.3">
      <c r="A18" s="50"/>
      <c r="B18" s="14"/>
      <c r="C18" s="15"/>
      <c r="D18" s="15"/>
      <c r="E18" s="15"/>
      <c r="F18" s="15"/>
      <c r="G18" s="15"/>
      <c r="H18" s="16"/>
      <c r="I18" s="45"/>
      <c r="J18" s="14"/>
      <c r="K18" s="15"/>
      <c r="L18" s="15"/>
      <c r="M18" s="15"/>
      <c r="N18" s="15"/>
      <c r="O18" s="15"/>
      <c r="P18" s="15"/>
      <c r="Q18" s="16"/>
      <c r="R18" s="40"/>
      <c r="S18" s="49"/>
      <c r="T18" s="14"/>
      <c r="U18" s="15"/>
      <c r="V18" s="15"/>
      <c r="W18" s="15"/>
      <c r="X18" s="15"/>
      <c r="Y18" s="15"/>
      <c r="Z18" s="16"/>
      <c r="AA18" s="45"/>
      <c r="AB18" s="14"/>
      <c r="AC18" s="15"/>
      <c r="AD18" s="15"/>
      <c r="AE18" s="15"/>
      <c r="AF18" s="15"/>
      <c r="AG18" s="15"/>
      <c r="AH18" s="15"/>
      <c r="AI18" s="16"/>
      <c r="AJ18" s="40"/>
      <c r="AK18" s="50"/>
      <c r="AL18" s="14"/>
      <c r="AM18" s="15"/>
      <c r="AN18" s="15"/>
      <c r="AO18" s="15"/>
      <c r="AP18" s="15"/>
      <c r="AQ18" s="15"/>
      <c r="AR18" s="16"/>
      <c r="AS18" s="45"/>
      <c r="AT18" s="14"/>
      <c r="AU18" s="15"/>
      <c r="AV18" s="15"/>
      <c r="AW18" s="15"/>
      <c r="AX18" s="15"/>
      <c r="AY18" s="15"/>
      <c r="AZ18" s="15"/>
      <c r="BA18" s="16"/>
      <c r="BB18" s="40"/>
    </row>
    <row r="19" spans="1:54" ht="15" thickBot="1" x14ac:dyDescent="0.35">
      <c r="A19" s="50"/>
      <c r="B19" s="17"/>
      <c r="C19" s="18"/>
      <c r="D19" s="18"/>
      <c r="E19" s="18"/>
      <c r="F19" s="18"/>
      <c r="G19" s="18"/>
      <c r="H19" s="19"/>
      <c r="I19" s="46"/>
      <c r="J19" s="17"/>
      <c r="K19" s="18"/>
      <c r="L19" s="18"/>
      <c r="M19" s="18"/>
      <c r="N19" s="18"/>
      <c r="O19" s="18"/>
      <c r="P19" s="18"/>
      <c r="Q19" s="19"/>
      <c r="R19" s="41"/>
      <c r="S19" s="49"/>
      <c r="T19" s="17"/>
      <c r="U19" s="18"/>
      <c r="V19" s="18"/>
      <c r="W19" s="18"/>
      <c r="X19" s="18"/>
      <c r="Y19" s="18"/>
      <c r="Z19" s="19"/>
      <c r="AA19" s="46"/>
      <c r="AB19" s="17"/>
      <c r="AC19" s="18"/>
      <c r="AD19" s="18"/>
      <c r="AE19" s="18"/>
      <c r="AF19" s="18"/>
      <c r="AG19" s="18"/>
      <c r="AH19" s="18"/>
      <c r="AI19" s="19"/>
      <c r="AJ19" s="41"/>
      <c r="AK19" s="50"/>
      <c r="AL19" s="17"/>
      <c r="AM19" s="18"/>
      <c r="AN19" s="18"/>
      <c r="AO19" s="18"/>
      <c r="AP19" s="18"/>
      <c r="AQ19" s="18"/>
      <c r="AR19" s="19"/>
      <c r="AS19" s="46"/>
      <c r="AT19" s="17"/>
      <c r="AU19" s="18"/>
      <c r="AV19" s="18"/>
      <c r="AW19" s="18"/>
      <c r="AX19" s="18"/>
      <c r="AY19" s="18"/>
      <c r="AZ19" s="18"/>
      <c r="BA19" s="19"/>
      <c r="BB19" s="41"/>
    </row>
    <row r="20" spans="1:54" x14ac:dyDescent="0.3">
      <c r="A20" s="39"/>
      <c r="S20" s="39"/>
      <c r="AK20" s="39"/>
    </row>
  </sheetData>
  <mergeCells count="24">
    <mergeCell ref="A1:A19"/>
    <mergeCell ref="BB15:BB19"/>
    <mergeCell ref="AS15:AS19"/>
    <mergeCell ref="AK1:AK19"/>
    <mergeCell ref="BB9:BB13"/>
    <mergeCell ref="AS9:AS13"/>
    <mergeCell ref="BB3:BB7"/>
    <mergeCell ref="AS3:AS7"/>
    <mergeCell ref="AL1:BB1"/>
    <mergeCell ref="T1:AJ1"/>
    <mergeCell ref="AA3:AA7"/>
    <mergeCell ref="AJ3:AJ7"/>
    <mergeCell ref="AA9:AA13"/>
    <mergeCell ref="AJ9:AJ13"/>
    <mergeCell ref="B1:R1"/>
    <mergeCell ref="I3:I7"/>
    <mergeCell ref="I9:I13"/>
    <mergeCell ref="I15:I19"/>
    <mergeCell ref="R3:R7"/>
    <mergeCell ref="R9:R13"/>
    <mergeCell ref="R15:R19"/>
    <mergeCell ref="AA15:AA19"/>
    <mergeCell ref="AJ15:AJ19"/>
    <mergeCell ref="S1:S19"/>
  </mergeCells>
  <conditionalFormatting sqref="R9:R13">
    <cfRule type="expression" dxfId="6" priority="5">
      <formula>$R$9=$R$15</formula>
    </cfRule>
    <cfRule type="expression" dxfId="5" priority="6">
      <formula>$R$9&gt;=$R$15/2</formula>
    </cfRule>
  </conditionalFormatting>
  <conditionalFormatting sqref="AJ9:AJ13">
    <cfRule type="expression" dxfId="4" priority="3">
      <formula>$R$9=$R$15</formula>
    </cfRule>
    <cfRule type="expression" dxfId="3" priority="4">
      <formula>$R$9&gt;=$R$15/2</formula>
    </cfRule>
  </conditionalFormatting>
  <conditionalFormatting sqref="BB9:BB13">
    <cfRule type="expression" dxfId="2" priority="1">
      <formula>$R$9=$R$15</formula>
    </cfRule>
    <cfRule type="expression" dxfId="1" priority="2">
      <formula>$R$9&gt;=$R$15/2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inelLogistica">
                <anchor moveWithCells="1" sizeWithCells="1">
                  <from>
                    <xdr:col>0</xdr:col>
                    <xdr:colOff>30480</xdr:colOff>
                    <xdr:row>0</xdr:row>
                    <xdr:rowOff>83820</xdr:rowOff>
                  </from>
                  <to>
                    <xdr:col>0</xdr:col>
                    <xdr:colOff>579120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ainelVeiculos">
                <anchor moveWithCells="1" sizeWithCells="1">
                  <from>
                    <xdr:col>18</xdr:col>
                    <xdr:colOff>30480</xdr:colOff>
                    <xdr:row>0</xdr:row>
                    <xdr:rowOff>83820</xdr:rowOff>
                  </from>
                  <to>
                    <xdr:col>18</xdr:col>
                    <xdr:colOff>579120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ainelCargas">
                <anchor moveWithCells="1" sizeWithCells="1">
                  <from>
                    <xdr:col>36</xdr:col>
                    <xdr:colOff>30480</xdr:colOff>
                    <xdr:row>0</xdr:row>
                    <xdr:rowOff>83820</xdr:rowOff>
                  </from>
                  <to>
                    <xdr:col>36</xdr:col>
                    <xdr:colOff>579120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bChamaForm">
                <anchor moveWithCells="1" sizeWithCells="1">
                  <from>
                    <xdr:col>31</xdr:col>
                    <xdr:colOff>510540</xdr:colOff>
                    <xdr:row>0</xdr:row>
                    <xdr:rowOff>68580</xdr:rowOff>
                  </from>
                  <to>
                    <xdr:col>33</xdr:col>
                    <xdr:colOff>106680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36594-1E18-478D-A6F1-C008E62D79A4}">
  <sheetPr codeName="Planilha6"/>
  <dimension ref="A3:B8"/>
  <sheetViews>
    <sheetView workbookViewId="0">
      <selection activeCell="A3" sqref="A3"/>
    </sheetView>
  </sheetViews>
  <sheetFormatPr defaultRowHeight="14.4" x14ac:dyDescent="0.3"/>
  <cols>
    <col min="1" max="1" width="18.109375" bestFit="1" customWidth="1"/>
    <col min="2" max="2" width="24.109375" bestFit="1" customWidth="1"/>
  </cols>
  <sheetData>
    <row r="3" spans="1:2" x14ac:dyDescent="0.3">
      <c r="A3" s="27" t="s">
        <v>40</v>
      </c>
      <c r="B3" t="s">
        <v>41</v>
      </c>
    </row>
    <row r="4" spans="1:2" x14ac:dyDescent="0.3">
      <c r="A4" s="28" t="s">
        <v>36</v>
      </c>
      <c r="B4" s="35">
        <v>5316.2790697674418</v>
      </c>
    </row>
    <row r="5" spans="1:2" x14ac:dyDescent="0.3">
      <c r="A5" s="28" t="s">
        <v>31</v>
      </c>
      <c r="B5" s="35">
        <v>8330.1311953352779</v>
      </c>
    </row>
    <row r="6" spans="1:2" x14ac:dyDescent="0.3">
      <c r="A6" s="28" t="s">
        <v>22</v>
      </c>
      <c r="B6" s="35">
        <v>12010.796978704524</v>
      </c>
    </row>
    <row r="7" spans="1:2" x14ac:dyDescent="0.3">
      <c r="A7" s="28" t="s">
        <v>56</v>
      </c>
      <c r="B7" s="35"/>
    </row>
    <row r="8" spans="1:2" x14ac:dyDescent="0.3">
      <c r="A8" s="28" t="s">
        <v>42</v>
      </c>
      <c r="B8" s="35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374C9-7D7E-416E-AB13-F8845FB1F18A}">
  <sheetPr codeName="Planilha5"/>
  <dimension ref="A1:M35"/>
  <sheetViews>
    <sheetView tabSelected="1" workbookViewId="0">
      <selection activeCell="A2" sqref="A2:M2"/>
    </sheetView>
  </sheetViews>
  <sheetFormatPr defaultRowHeight="14.4" x14ac:dyDescent="0.3"/>
  <cols>
    <col min="1" max="1" width="23.33203125" bestFit="1" customWidth="1"/>
    <col min="2" max="2" width="12.77734375" bestFit="1" customWidth="1"/>
    <col min="3" max="3" width="16.88671875" bestFit="1" customWidth="1"/>
    <col min="4" max="4" width="17.5546875" bestFit="1" customWidth="1"/>
    <col min="5" max="5" width="17.33203125" bestFit="1" customWidth="1"/>
    <col min="7" max="7" width="18.109375" bestFit="1" customWidth="1"/>
    <col min="8" max="8" width="7.109375" bestFit="1" customWidth="1"/>
    <col min="9" max="9" width="12.44140625" bestFit="1" customWidth="1"/>
    <col min="10" max="10" width="18.5546875" bestFit="1" customWidth="1"/>
    <col min="11" max="11" width="7.33203125" bestFit="1" customWidth="1"/>
    <col min="12" max="12" width="15.33203125" bestFit="1" customWidth="1"/>
    <col min="13" max="13" width="18.77734375" bestFit="1" customWidth="1"/>
  </cols>
  <sheetData>
    <row r="1" spans="1:13" s="1" customFormat="1" x14ac:dyDescent="0.3">
      <c r="A1" s="22" t="s">
        <v>0</v>
      </c>
      <c r="B1" s="23" t="s">
        <v>2</v>
      </c>
      <c r="C1" s="23" t="s">
        <v>3</v>
      </c>
      <c r="D1" s="38" t="s">
        <v>13</v>
      </c>
      <c r="E1" s="23" t="s">
        <v>1</v>
      </c>
      <c r="F1" s="23" t="s">
        <v>21</v>
      </c>
      <c r="G1" s="23" t="s">
        <v>6</v>
      </c>
      <c r="H1" s="23" t="s">
        <v>7</v>
      </c>
      <c r="I1" s="23" t="s">
        <v>8</v>
      </c>
      <c r="J1" s="23" t="s">
        <v>12</v>
      </c>
      <c r="K1" s="23" t="s">
        <v>9</v>
      </c>
      <c r="L1" s="23" t="s">
        <v>10</v>
      </c>
      <c r="M1" s="24" t="s">
        <v>11</v>
      </c>
    </row>
    <row r="2" spans="1:13" ht="23.4" customHeight="1" thickBot="1" x14ac:dyDescent="0.35">
      <c r="A2" s="52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4"/>
    </row>
    <row r="3" spans="1:13" ht="27.6" customHeight="1" x14ac:dyDescent="0.3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</row>
    <row r="5" spans="1:13" x14ac:dyDescent="0.3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3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3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3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3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3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3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3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3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3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3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3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3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3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3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3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3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3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3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3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3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3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3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3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3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3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3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26</v>
      </c>
      <c r="K31" s="4" t="s">
        <v>27</v>
      </c>
      <c r="L31" s="5">
        <v>43808</v>
      </c>
      <c r="M31" s="4" t="s">
        <v>26</v>
      </c>
    </row>
    <row r="32" spans="1:13" x14ac:dyDescent="0.3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3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51</v>
      </c>
      <c r="K33" s="4" t="s">
        <v>27</v>
      </c>
      <c r="L33" s="5">
        <v>43854</v>
      </c>
      <c r="M33" s="4" t="s">
        <v>26</v>
      </c>
    </row>
    <row r="34" spans="1:13" x14ac:dyDescent="0.3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36</v>
      </c>
      <c r="G34" t="s">
        <v>22</v>
      </c>
      <c r="H34" s="4" t="s">
        <v>27</v>
      </c>
      <c r="I34" s="5">
        <v>43854</v>
      </c>
      <c r="J34" s="4" t="s">
        <v>51</v>
      </c>
      <c r="K34" s="4" t="s">
        <v>27</v>
      </c>
      <c r="L34" s="5">
        <v>43854</v>
      </c>
      <c r="M34" s="4" t="s">
        <v>26</v>
      </c>
    </row>
    <row r="35" spans="1:13" x14ac:dyDescent="0.3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36</v>
      </c>
      <c r="G35" t="s">
        <v>22</v>
      </c>
      <c r="H35" s="4" t="s">
        <v>27</v>
      </c>
      <c r="I35" s="5">
        <v>43854</v>
      </c>
      <c r="J35" s="4" t="s">
        <v>51</v>
      </c>
      <c r="K35" s="4" t="s">
        <v>27</v>
      </c>
      <c r="L35" s="5">
        <v>43854</v>
      </c>
      <c r="M35" s="4" t="s">
        <v>26</v>
      </c>
    </row>
  </sheetData>
  <mergeCells count="1">
    <mergeCell ref="A3:M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266700</xdr:colOff>
                    <xdr:row>2</xdr:row>
                    <xdr:rowOff>38100</xdr:rowOff>
                  </from>
                  <to>
                    <xdr:col>1</xdr:col>
                    <xdr:colOff>342900</xdr:colOff>
                    <xdr:row>2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tualizarEMostrarPainelVeiculos">
                <anchor moveWithCells="1" sizeWithCells="1">
                  <from>
                    <xdr:col>1</xdr:col>
                    <xdr:colOff>693420</xdr:colOff>
                    <xdr:row>2</xdr:row>
                    <xdr:rowOff>38100</xdr:rowOff>
                  </from>
                  <to>
                    <xdr:col>3</xdr:col>
                    <xdr:colOff>335280</xdr:colOff>
                    <xdr:row>2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FiltrarSP">
                <anchor moveWithCells="1" sizeWithCells="1">
                  <from>
                    <xdr:col>3</xdr:col>
                    <xdr:colOff>609600</xdr:colOff>
                    <xdr:row>2</xdr:row>
                    <xdr:rowOff>38100</xdr:rowOff>
                  </from>
                  <to>
                    <xdr:col>4</xdr:col>
                    <xdr:colOff>1082040</xdr:colOff>
                    <xdr:row>2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LimparFiltro">
                <anchor moveWithCells="1" sizeWithCells="1">
                  <from>
                    <xdr:col>5</xdr:col>
                    <xdr:colOff>129540</xdr:colOff>
                    <xdr:row>2</xdr:row>
                    <xdr:rowOff>45720</xdr:rowOff>
                  </from>
                  <to>
                    <xdr:col>6</xdr:col>
                    <xdr:colOff>1196340</xdr:colOff>
                    <xdr:row>2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40"/>
  <sheetViews>
    <sheetView topLeftCell="A16" zoomScaleNormal="100" workbookViewId="0">
      <selection activeCell="G32" sqref="G32"/>
    </sheetView>
  </sheetViews>
  <sheetFormatPr defaultColWidth="19.6640625" defaultRowHeight="14.4" x14ac:dyDescent="0.3"/>
  <cols>
    <col min="1" max="1" width="24.33203125" bestFit="1" customWidth="1"/>
    <col min="2" max="2" width="12.88671875" style="4" bestFit="1" customWidth="1"/>
    <col min="4" max="4" width="19.6640625" style="3"/>
    <col min="6" max="6" width="9" style="4" bestFit="1" customWidth="1"/>
    <col min="8" max="8" width="8.33203125" style="4" customWidth="1"/>
    <col min="9" max="9" width="12.44140625" style="4" bestFit="1" customWidth="1"/>
    <col min="10" max="10" width="19.6640625" style="4"/>
    <col min="11" max="11" width="7.6640625" style="4" bestFit="1" customWidth="1"/>
    <col min="12" max="12" width="15.44140625" style="4" bestFit="1" customWidth="1"/>
  </cols>
  <sheetData>
    <row r="1" spans="1:13" s="1" customFormat="1" x14ac:dyDescent="0.3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3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3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3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3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3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3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3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3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3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3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3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3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3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3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3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3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3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3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3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3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3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3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3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3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3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3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26</v>
      </c>
      <c r="K27" s="4" t="s">
        <v>27</v>
      </c>
      <c r="L27" s="5">
        <v>43808</v>
      </c>
      <c r="M27" s="4" t="s">
        <v>26</v>
      </c>
    </row>
    <row r="28" spans="1:13" x14ac:dyDescent="0.3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3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51</v>
      </c>
      <c r="K29" s="4" t="s">
        <v>27</v>
      </c>
      <c r="L29" s="5">
        <v>43854</v>
      </c>
      <c r="M29" s="4" t="s">
        <v>26</v>
      </c>
    </row>
    <row r="30" spans="1:13" x14ac:dyDescent="0.3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36</v>
      </c>
      <c r="G30" t="s">
        <v>22</v>
      </c>
      <c r="H30" s="4" t="s">
        <v>27</v>
      </c>
      <c r="I30" s="5">
        <v>43854</v>
      </c>
      <c r="J30" s="4" t="s">
        <v>51</v>
      </c>
      <c r="K30" s="4" t="s">
        <v>27</v>
      </c>
      <c r="L30" s="5">
        <v>43854</v>
      </c>
      <c r="M30" s="4" t="s">
        <v>26</v>
      </c>
    </row>
    <row r="31" spans="1:13" x14ac:dyDescent="0.3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36</v>
      </c>
      <c r="G31" t="s">
        <v>22</v>
      </c>
      <c r="H31" s="4" t="s">
        <v>27</v>
      </c>
      <c r="I31" s="5">
        <v>43854</v>
      </c>
      <c r="J31" s="4" t="s">
        <v>51</v>
      </c>
      <c r="K31" s="4" t="s">
        <v>27</v>
      </c>
      <c r="L31" s="5">
        <v>43854</v>
      </c>
      <c r="M31" s="4" t="s">
        <v>26</v>
      </c>
    </row>
    <row r="32" spans="1:13" x14ac:dyDescent="0.3">
      <c r="B32" s="5"/>
    </row>
    <row r="33" spans="2:2" x14ac:dyDescent="0.3">
      <c r="B33" s="5"/>
    </row>
    <row r="34" spans="2:2" x14ac:dyDescent="0.3">
      <c r="B34" s="5"/>
    </row>
    <row r="35" spans="2:2" x14ac:dyDescent="0.3">
      <c r="B35" s="5"/>
    </row>
    <row r="36" spans="2:2" x14ac:dyDescent="0.3">
      <c r="B36" s="5"/>
    </row>
    <row r="37" spans="2:2" x14ac:dyDescent="0.3">
      <c r="B37" s="5"/>
    </row>
    <row r="38" spans="2:2" x14ac:dyDescent="0.3">
      <c r="B38" s="5"/>
    </row>
    <row r="39" spans="2:2" x14ac:dyDescent="0.3">
      <c r="B39" s="5"/>
    </row>
    <row r="40" spans="2:2" x14ac:dyDescent="0.3">
      <c r="B40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6</vt:i4>
      </vt:variant>
    </vt:vector>
  </HeadingPairs>
  <TitlesOfParts>
    <vt:vector size="11" baseType="lpstr">
      <vt:lpstr>Tabelas</vt:lpstr>
      <vt:lpstr>Dashboard</vt:lpstr>
      <vt:lpstr>Valor por Veículo</vt:lpstr>
      <vt:lpstr>Base Filtrada</vt:lpstr>
      <vt:lpstr>Controle de Entregas</vt:lpstr>
      <vt:lpstr>'Base Filtrada'!Area_de_extracao</vt:lpstr>
      <vt:lpstr>baseFiltrada</vt:lpstr>
      <vt:lpstr>'Base Filtrada'!Criterios</vt:lpstr>
      <vt:lpstr>origemDinamica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Nathaly Silva</cp:lastModifiedBy>
  <dcterms:created xsi:type="dcterms:W3CDTF">2020-01-28T18:38:11Z</dcterms:created>
  <dcterms:modified xsi:type="dcterms:W3CDTF">2022-10-25T20:42:32Z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